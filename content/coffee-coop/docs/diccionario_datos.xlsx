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SERVIDOR\Downloads\"/>
    </mc:Choice>
  </mc:AlternateContent>
  <xr:revisionPtr revIDLastSave="0" documentId="13_ncr:1_{B7025ABF-E42A-4602-9C31-A66EF25C37EA}" xr6:coauthVersionLast="47" xr6:coauthVersionMax="47" xr10:uidLastSave="{00000000-0000-0000-0000-000000000000}"/>
  <bookViews>
    <workbookView xWindow="-108" yWindow="-108" windowWidth="23256" windowHeight="12456" xr2:uid="{00000000-000D-0000-FFFF-FFFF00000000}"/>
  </bookViews>
  <sheets>
    <sheet name="DICCIONARIO DE DATOS" sheetId="12" r:id="rId1"/>
    <sheet name="DEPARTMENTS" sheetId="1" r:id="rId2"/>
    <sheet name="MUNICIPALITIES" sheetId="2" r:id="rId3"/>
    <sheet name="FARMERS" sheetId="3" r:id="rId4"/>
    <sheet name="FARMS" sheetId="4" r:id="rId5"/>
    <sheet name="PLOTS" sheetId="5" r:id="rId6"/>
    <sheet name="COFFEE_VARIETIES" sheetId="6" r:id="rId7"/>
    <sheet name="PLOT_VARIETIES" sheetId="7" r:id="rId8"/>
    <sheet name="CERTIFICATIONS" sheetId="8" r:id="rId9"/>
    <sheet name="FARM_CERTIFICATIONS" sheetId="9" r:id="rId10"/>
    <sheet name="COLLECTION_POINTS" sheetId="13" r:id="rId11"/>
    <sheet name="DAILY_PRICES" sheetId="10" r:id="rId12"/>
    <sheet name="DELIVERIES" sheetId="11" r:id="rId13"/>
    <sheet name="QUALITY_ANALYSES" sheetId="14" r:id="rId14"/>
    <sheet name="SETTLEMENTS" sheetId="15" r:id="rId15"/>
    <sheet name="PAYMENTS"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7" i="12" l="1"/>
  <c r="F18" i="12"/>
  <c r="F19" i="12"/>
  <c r="F20" i="12"/>
  <c r="F21" i="12"/>
  <c r="F22" i="12"/>
  <c r="F23" i="12"/>
  <c r="F24" i="12"/>
  <c r="F25" i="12"/>
  <c r="F26" i="12"/>
  <c r="F27" i="12"/>
  <c r="F28" i="12"/>
  <c r="F29" i="12"/>
  <c r="F30" i="12"/>
  <c r="F16" i="12"/>
</calcChain>
</file>

<file path=xl/sharedStrings.xml><?xml version="1.0" encoding="utf-8"?>
<sst xmlns="http://schemas.openxmlformats.org/spreadsheetml/2006/main" count="565" uniqueCount="255">
  <si>
    <t>Campo</t>
  </si>
  <si>
    <t>Tipo de Dato</t>
  </si>
  <si>
    <t>Tamaño</t>
  </si>
  <si>
    <t>Descripción</t>
  </si>
  <si>
    <t>ID</t>
  </si>
  <si>
    <t>Nombre</t>
  </si>
  <si>
    <t>SERIAL</t>
  </si>
  <si>
    <t>VARCHAR</t>
  </si>
  <si>
    <t>DATE</t>
  </si>
  <si>
    <t>-</t>
  </si>
  <si>
    <t>Propósito</t>
  </si>
  <si>
    <t>Fecha de Creación</t>
  </si>
  <si>
    <t>Creado por</t>
  </si>
  <si>
    <t>Última Actualización</t>
  </si>
  <si>
    <t>Versión</t>
  </si>
  <si>
    <t>1.0</t>
  </si>
  <si>
    <t>Catalogo de Datos - Informacion General</t>
  </si>
  <si>
    <t>Estructura de la Base de Datos</t>
  </si>
  <si>
    <t>Tablas Principales</t>
  </si>
  <si>
    <t>Tablas de Referencia</t>
  </si>
  <si>
    <t>Tabla Intermedia</t>
  </si>
  <si>
    <t xml:space="preserve">Relaciones	</t>
  </si>
  <si>
    <t>Notas Importantes</t>
  </si>
  <si>
    <r>
      <t>1. Tamaño de los Campos</t>
    </r>
    <r>
      <rPr>
        <sz val="12"/>
        <color theme="1"/>
        <rFont val="Arial"/>
        <family val="2"/>
      </rPr>
      <t>: Los tamaños de los campos se definieron basados en un análisis de necesidades y limitaciones prácticas. Ejemplo: los nombres tienen un tamaño máximo de 50 caracteres para capturar nombres completos sin desperdiciar espacio.</t>
    </r>
  </si>
  <si>
    <r>
      <t>2. Estandarización de Nombres</t>
    </r>
    <r>
      <rPr>
        <sz val="12"/>
        <color theme="1"/>
        <rFont val="Arial"/>
        <family val="2"/>
      </rPr>
      <t>: Se utilizaron nombres en español para todas las tablas y campos, de acuerdo con el contexto del zoológico.</t>
    </r>
  </si>
  <si>
    <r>
      <t>3. Manejo de Datos</t>
    </r>
    <r>
      <rPr>
        <sz val="12"/>
        <color theme="1"/>
        <rFont val="Arial"/>
        <family val="2"/>
      </rPr>
      <t>: Los datos sensibles, como la información de visitantes, se estructuran para mantener privacidad y precisión en las visitas registradas.</t>
    </r>
  </si>
  <si>
    <r>
      <t>4. Normalizado</t>
    </r>
    <r>
      <rPr>
        <sz val="12"/>
        <color theme="1"/>
        <rFont val="Arial"/>
        <family val="2"/>
      </rPr>
      <t>: El modelo se encuentra normalizado hasta la forma 4FN.</t>
    </r>
  </si>
  <si>
    <t>Data Mapping - Catalogo</t>
  </si>
  <si>
    <t>Tabla</t>
  </si>
  <si>
    <t>Descripcion</t>
  </si>
  <si>
    <t>Hipervinculo</t>
  </si>
  <si>
    <t>Restriccion</t>
  </si>
  <si>
    <t>PK</t>
  </si>
  <si>
    <t>NOT NULL</t>
  </si>
  <si>
    <t>NULL</t>
  </si>
  <si>
    <t>FK</t>
  </si>
  <si>
    <t>NUMERIC</t>
  </si>
  <si>
    <t>Sistema de Gestión de Cooperativa Cafetera - Coffee Coop ☕</t>
  </si>
  <si>
    <t>Daniela Idrobo Cardozo</t>
  </si>
  <si>
    <t>Detalla la arquitectura relacional organizada en cuatro esquemas de negocio (geo, farm, buy, pay) para gestionar integralmente el flujo operativo de la cooperativa, abarcando desde la caracterización de caficultores, fincas, lotes, variedades y certificaciones, hasta la recepción de entregas, análisis de calidad, precios del día, liquidaciones y pagos.</t>
  </si>
  <si>
    <t>Garantizar la trazabilidad del café certificado desde su finca de origen y asegurar el control transparente de las liquidaciones y pagos a los asociados.</t>
  </si>
  <si>
    <t>Representan las entidades claves del sistema como FARMERS, FARMS, PLOTS, DELIVERIES y SETTLEMENTS. Cada tabla cuenta con identificadores únicos para asegurar la integridad de la operación cafetera.</t>
  </si>
  <si>
    <t>Tablas auxiliares como DEPARTMENTS, MUNICIPALITIES y COFFEE_VARIETIES, que ofrecen contexto geográfico y botánico adicional.</t>
  </si>
  <si>
    <t>Tablas como PLOT_VARIETIES y FARM_CERTIFICATIONS, que actúan como intermediarias para capturar relaciones de muchos a muchos (N:M).</t>
  </si>
  <si>
    <t>Las claves foráneas en cada esquema definen las asociaciones entre entidades, garantizando la integridad referencial y minimizando redundancias.</t>
  </si>
  <si>
    <t>DEPARTMENTS</t>
  </si>
  <si>
    <t>Registra los departamentos del país con sus códigos DANE para ubicar geográficamente municipios y puntos de compra.</t>
  </si>
  <si>
    <t>MUNICIPALITIES</t>
  </si>
  <si>
    <t>FARMERS</t>
  </si>
  <si>
    <t>FARMS</t>
  </si>
  <si>
    <t>PLOTS</t>
  </si>
  <si>
    <t>COFFEE_VARIETIES</t>
  </si>
  <si>
    <t>DELIVERIES</t>
  </si>
  <si>
    <t>SETTLEMENTS</t>
  </si>
  <si>
    <t>Almacena los municipios con sus códigos DANE, vinculándolos a su departamento correspondiente para asociar fincas y asociados.</t>
  </si>
  <si>
    <t>Guarda la información de los caficultores asociados a la cooperativa, incluyendo documento, contacto, fecha de ingreso y municipio.</t>
  </si>
  <si>
    <t>Registra las fincas pertenecientes a los asociados, detallando su nombre, vereda, área total, altitud y coordenadas GPS.</t>
  </si>
  <si>
    <t>Almacena la división por lotes de cada finca, especificando área, año de siembra y sistema de sombra implementado.</t>
  </si>
  <si>
    <t>Contiene el catálogo de variedades de café (Castillo, Caturra, etc.), especificando especie y resistencia a la roya.</t>
  </si>
  <si>
    <t>Registra las entregas de café recibidas en los puntos de compra, indicando la finca, tipo de café, bultos y peso bruto.</t>
  </si>
  <si>
    <t>Contiene el cálculo financiero de cada entrega aceptada, detallando peso neto, precio del día, valor bruto, deducciones y neto a pagar.</t>
  </si>
  <si>
    <t>department_code</t>
  </si>
  <si>
    <t>Código DANE único del departamento</t>
  </si>
  <si>
    <t>department_name</t>
  </si>
  <si>
    <t>NOT NULL, UNIQUE</t>
  </si>
  <si>
    <t>Nombre oficial del departamento</t>
  </si>
  <si>
    <t>municipality_code</t>
  </si>
  <si>
    <t>Código DANE único del municipio</t>
  </si>
  <si>
    <t>municipality_name</t>
  </si>
  <si>
    <t>Nombre del municipio</t>
  </si>
  <si>
    <t>Identificador del departamento al que pertenece</t>
  </si>
  <si>
    <t>farmer_id</t>
  </si>
  <si>
    <t>Identificador único de cada caficultor</t>
  </si>
  <si>
    <t>document_number</t>
  </si>
  <si>
    <t>Número de documento de identidad del caficultor</t>
  </si>
  <si>
    <t>first_name</t>
  </si>
  <si>
    <t>Nombres del caficultor</t>
  </si>
  <si>
    <t>last_name</t>
  </si>
  <si>
    <t>Apellidos del caficultor</t>
  </si>
  <si>
    <t>birth_date</t>
  </si>
  <si>
    <t>Fecha de nacimiento del caficultor</t>
  </si>
  <si>
    <t>gender</t>
  </si>
  <si>
    <t>CHAR</t>
  </si>
  <si>
    <t>Género del caficultor (M, F, O)</t>
  </si>
  <si>
    <t>phone_number</t>
  </si>
  <si>
    <t>Número de teléfono de contacto</t>
  </si>
  <si>
    <t>email</t>
  </si>
  <si>
    <t>UNIQUE</t>
  </si>
  <si>
    <t>Correo electrónico del caficultor</t>
  </si>
  <si>
    <t>membership_date</t>
  </si>
  <si>
    <t>Fecha de afiliación a la cooperativa</t>
  </si>
  <si>
    <t>is_active</t>
  </si>
  <si>
    <t>BOOLEAN</t>
  </si>
  <si>
    <t>Estado activo del caficultor en el sistema</t>
  </si>
  <si>
    <t>Identificador del municipio de residencia</t>
  </si>
  <si>
    <t>farm_id</t>
  </si>
  <si>
    <t>Identificador único de cada finca</t>
  </si>
  <si>
    <t>Identificador del caficultor propietario</t>
  </si>
  <si>
    <t>Identificador del municipio de ubicación</t>
  </si>
  <si>
    <t>farm_name</t>
  </si>
  <si>
    <t>Nombre de la finca</t>
  </si>
  <si>
    <t>rural_district</t>
  </si>
  <si>
    <t>Vereda o sector rural de la finca</t>
  </si>
  <si>
    <t>total_area_ha</t>
  </si>
  <si>
    <t>Área total de la finca en hectáreas</t>
  </si>
  <si>
    <t>altitude_masl</t>
  </si>
  <si>
    <t>INT</t>
  </si>
  <si>
    <t>Altitud sobre el nivel del mar en metros</t>
  </si>
  <si>
    <t>latitude</t>
  </si>
  <si>
    <t>Coordenada GPS de latitud</t>
  </si>
  <si>
    <t>longitude</t>
  </si>
  <si>
    <t>Coordenada GPS de longitud</t>
  </si>
  <si>
    <t>registered_at</t>
  </si>
  <si>
    <t>TIMESTAMP</t>
  </si>
  <si>
    <t>Fecha y hora de registro de la finca</t>
  </si>
  <si>
    <t>plot_id</t>
  </si>
  <si>
    <t>Identificador único de cada lote</t>
  </si>
  <si>
    <t>Identificador de la finca a la que pertenece</t>
  </si>
  <si>
    <t>plot_code</t>
  </si>
  <si>
    <t>Código interno del lote dentro de la finca</t>
  </si>
  <si>
    <t>area_ha</t>
  </si>
  <si>
    <t>Área del lote en hectáreas</t>
  </si>
  <si>
    <t>planting_year</t>
  </si>
  <si>
    <t>Año de siembra del lote</t>
  </si>
  <si>
    <t>shade_type</t>
  </si>
  <si>
    <t>Sistema de sombra del lote</t>
  </si>
  <si>
    <t>variety_id</t>
  </si>
  <si>
    <t>Identificador único de cada variedad</t>
  </si>
  <si>
    <t>variety_name</t>
  </si>
  <si>
    <t>Nombre de la variedad de café</t>
  </si>
  <si>
    <t>species</t>
  </si>
  <si>
    <t>Especie botánica del café</t>
  </si>
  <si>
    <t>is_rust_resistant</t>
  </si>
  <si>
    <t>Indica si es resistente a la roya</t>
  </si>
  <si>
    <t>description</t>
  </si>
  <si>
    <t>TEXT</t>
  </si>
  <si>
    <t>Descripción detallada de la variedad</t>
  </si>
  <si>
    <t>plot_variety_id</t>
  </si>
  <si>
    <t>Identificador único del registro lote-variedad</t>
  </si>
  <si>
    <t>Identificador del lote</t>
  </si>
  <si>
    <t>Identificador de la variedad de café</t>
  </si>
  <si>
    <t>planted_percentage</t>
  </si>
  <si>
    <t>Porcentaje del lote sembrado con esta variedad</t>
  </si>
  <si>
    <t>tree_count</t>
  </si>
  <si>
    <t>Número de árboles sembrados en el lote</t>
  </si>
  <si>
    <t>certification_id</t>
  </si>
  <si>
    <t>Identificador único de cada certificación</t>
  </si>
  <si>
    <t>certification_name</t>
  </si>
  <si>
    <t>Nombre del sello o certificación</t>
  </si>
  <si>
    <t>issuing_body</t>
  </si>
  <si>
    <t>Entidad emisora de la certificación</t>
  </si>
  <si>
    <t>premium_per_kg</t>
  </si>
  <si>
    <t>Prima adicional pagada por kilo certificado</t>
  </si>
  <si>
    <t>farm_certification_id</t>
  </si>
  <si>
    <t>start_date</t>
  </si>
  <si>
    <t>end_date</t>
  </si>
  <si>
    <t>certificate_number</t>
  </si>
  <si>
    <t>Identificador único de la certificación de la finca</t>
  </si>
  <si>
    <t>Identificador de la finca certificada</t>
  </si>
  <si>
    <t>Identificador de la certificación aplicada</t>
  </si>
  <si>
    <t>Fecha de inicio de la certificación</t>
  </si>
  <si>
    <t>Fecha de finalización de la certificación</t>
  </si>
  <si>
    <t>Número único de certificado</t>
  </si>
  <si>
    <t>collection_point_id</t>
  </si>
  <si>
    <t>Identificador único de cada punto de compra</t>
  </si>
  <si>
    <t>point_name</t>
  </si>
  <si>
    <t>Nombre comercial del punto de compra</t>
  </si>
  <si>
    <t>address_line</t>
  </si>
  <si>
    <t>Dirección del punto de compra</t>
  </si>
  <si>
    <t>Teléfono de contacto del punto</t>
  </si>
  <si>
    <t>Estado operativo del punto de compra</t>
  </si>
  <si>
    <t>daily_price_id</t>
  </si>
  <si>
    <t>Identificador único del precio diario</t>
  </si>
  <si>
    <t>Identificador del punto de compra</t>
  </si>
  <si>
    <t>price_date</t>
  </si>
  <si>
    <t>Fecha de publicación del precio</t>
  </si>
  <si>
    <t>price_per_kg</t>
  </si>
  <si>
    <t>Precio publicado por kilo de café</t>
  </si>
  <si>
    <t>reference_yield_factor</t>
  </si>
  <si>
    <t>Factor de rendimiento de referencia</t>
  </si>
  <si>
    <t>delivery_id</t>
  </si>
  <si>
    <t>Identificador único de la entrega</t>
  </si>
  <si>
    <t>Identificador de la finca de origen</t>
  </si>
  <si>
    <t>Identificador del punto de compra receptor</t>
  </si>
  <si>
    <t>delivered_at</t>
  </si>
  <si>
    <t>Fecha y hora exacta de la entrega</t>
  </si>
  <si>
    <t>coffee_type</t>
  </si>
  <si>
    <t>Tipo de café entregado</t>
  </si>
  <si>
    <t>bag_count</t>
  </si>
  <si>
    <t>Cantidad de bultos o sacos entregados</t>
  </si>
  <si>
    <t>gross_weight_kg</t>
  </si>
  <si>
    <t>Peso bruto total en kilogramos</t>
  </si>
  <si>
    <t>status</t>
  </si>
  <si>
    <t>Estado actual de la entrega</t>
  </si>
  <si>
    <t>analysis_id</t>
  </si>
  <si>
    <t>Identificador único del análisis de calidad</t>
  </si>
  <si>
    <t>Identificador de la entrega analizada</t>
  </si>
  <si>
    <t>analyzed_at</t>
  </si>
  <si>
    <t>Fecha y hora de realización del análisis</t>
  </si>
  <si>
    <t>moisture_pct</t>
  </si>
  <si>
    <t>Porcentaje de humedad medido en la muestra</t>
  </si>
  <si>
    <t>yield_factor</t>
  </si>
  <si>
    <t>Factor de rendimiento resultante</t>
  </si>
  <si>
    <t>defects_pct</t>
  </si>
  <si>
    <t>Porcentaje de defectos encontrados</t>
  </si>
  <si>
    <t>cup_score</t>
  </si>
  <si>
    <t>Puntaje de catación en taza</t>
  </si>
  <si>
    <t>is_accepted</t>
  </si>
  <si>
    <t>Resultado de aceptación de la entrega</t>
  </si>
  <si>
    <t>analyst_name</t>
  </si>
  <si>
    <t>Nombre del analista responsable</t>
  </si>
  <si>
    <t>observations</t>
  </si>
  <si>
    <t>Observaciones del análisis de calidad</t>
  </si>
  <si>
    <t>settlement_id</t>
  </si>
  <si>
    <t>Identificador único de la liquidación</t>
  </si>
  <si>
    <t>Identificador de la entrega liquidada</t>
  </si>
  <si>
    <t>Identificador del precio del día aplicado</t>
  </si>
  <si>
    <t>net_weight_kg</t>
  </si>
  <si>
    <t>Peso neto determinado de la entrega</t>
  </si>
  <si>
    <t>price_per_kg_applied</t>
  </si>
  <si>
    <t>Precio final por kilo aplicado</t>
  </si>
  <si>
    <t>deductions_amount</t>
  </si>
  <si>
    <t>Monto total de deducciones aplicadas</t>
  </si>
  <si>
    <t>gross_amount</t>
  </si>
  <si>
    <t>Monto bruto calculado</t>
  </si>
  <si>
    <t>net_amount</t>
  </si>
  <si>
    <t>Monto neto final a pagar</t>
  </si>
  <si>
    <t>settled_at</t>
  </si>
  <si>
    <t>Fecha y hora de generación de la liquidación</t>
  </si>
  <si>
    <t>Estado de la liquidación</t>
  </si>
  <si>
    <t>payment_id</t>
  </si>
  <si>
    <t>Identificador único del pago</t>
  </si>
  <si>
    <t>Identificador de la liquidación pagada</t>
  </si>
  <si>
    <t>payment_method</t>
  </si>
  <si>
    <t>Medio de pago utilizado</t>
  </si>
  <si>
    <t>amount</t>
  </si>
  <si>
    <t>Monto monetario desembolsado</t>
  </si>
  <si>
    <t>paid_at</t>
  </si>
  <si>
    <t>Fecha y hora en que se ejecutó el pago</t>
  </si>
  <si>
    <t>transaction_reference</t>
  </si>
  <si>
    <t>Referencia de la transacción bancaria</t>
  </si>
  <si>
    <t>PLOT_VARIETIES</t>
  </si>
  <si>
    <t>Tabla intermedia (N:M) que asocia las variedades de café sembradas en cada lote, con su porcentaje e intensidad de árboles.</t>
  </si>
  <si>
    <t>CERTIFICATIONS</t>
  </si>
  <si>
    <t>Catálogo de sellos y certificaciones de sostenibilidad (Rainforest, Fairtrade, etc.) con sus primas por kilo.</t>
  </si>
  <si>
    <t>FARM_CERTIFICATIONS</t>
  </si>
  <si>
    <t>Tabla intermedia (N:M) que relaciona las certificaciones vigentes de cada finca con sus fechas de vigencia.</t>
  </si>
  <si>
    <t>COLLECTION_POINTS</t>
  </si>
  <si>
    <t>Registra los puntos de acopio o compra de la cooperativa ubicados en diferentes municipios.</t>
  </si>
  <si>
    <t>DAILY_PRICES</t>
  </si>
  <si>
    <t>QUALITY_ANALYSES</t>
  </si>
  <si>
    <t>PAYMENTS</t>
  </si>
  <si>
    <t>Almacena los precios diarios por kilo publicados por cada punto de compra en una fecha dada.</t>
  </si>
  <si>
    <t>Registra los resultados del análisis de calidad por entrega (humedad, factor de rendimiento, defectos y puntaje en taza).</t>
  </si>
  <si>
    <t>Registra los desembolsos de dinero aplicados a las liquidaciones según el medio de pago.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</si>
</sst>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b/>
      <sz val="11"/>
      <color theme="0"/>
      <name val="Calibri"/>
      <family val="2"/>
      <scheme val="minor"/>
    </font>
    <font>
      <u/>
      <sz val="11"/>
      <color theme="10"/>
      <name val="Calibri"/>
      <family val="2"/>
      <scheme val="minor"/>
    </font>
    <font>
      <b/>
      <sz val="11"/>
      <color theme="1"/>
      <name val="Arial Narrow"/>
      <family val="2"/>
    </font>
    <font>
      <sz val="11"/>
      <color theme="1"/>
      <name val="Arial"/>
      <family val="2"/>
    </font>
    <font>
      <sz val="26"/>
      <color theme="1"/>
      <name val="Arial Narrow"/>
      <family val="2"/>
    </font>
    <font>
      <b/>
      <sz val="13.5"/>
      <color theme="1"/>
      <name val="Arial Narrow"/>
      <family val="2"/>
    </font>
    <font>
      <b/>
      <sz val="12"/>
      <color theme="1"/>
      <name val="Arial"/>
      <family val="2"/>
    </font>
    <font>
      <sz val="12"/>
      <color theme="1"/>
      <name val="Arial"/>
      <family val="2"/>
    </font>
    <font>
      <sz val="26"/>
      <color theme="0"/>
      <name val="Arial Narrow"/>
      <family val="2"/>
    </font>
    <font>
      <sz val="18"/>
      <color theme="0"/>
      <name val="Arial Narrow"/>
      <family val="2"/>
    </font>
    <font>
      <sz val="11"/>
      <color theme="1"/>
      <name val="Arial Narrow"/>
      <family val="2"/>
    </font>
    <font>
      <b/>
      <sz val="14"/>
      <color theme="1"/>
      <name val="Arial Narrow"/>
      <family val="2"/>
    </font>
    <font>
      <sz val="8"/>
      <name val="Calibri"/>
      <family val="2"/>
      <scheme val="minor"/>
    </font>
  </fonts>
  <fills count="10">
    <fill>
      <patternFill patternType="none"/>
    </fill>
    <fill>
      <patternFill patternType="gray125"/>
    </fill>
    <fill>
      <patternFill patternType="solid">
        <fgColor rgb="FF002060"/>
        <bgColor indexed="64"/>
      </patternFill>
    </fill>
    <fill>
      <patternFill patternType="solid">
        <fgColor theme="3"/>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tint="-0.499984740745262"/>
        <bgColor indexed="64"/>
      </patternFill>
    </fill>
    <fill>
      <patternFill patternType="solid">
        <fgColor theme="7" tint="0.59999389629810485"/>
        <bgColor indexed="64"/>
      </patternFill>
    </fill>
    <fill>
      <patternFill patternType="solid">
        <fgColor theme="0"/>
        <bgColor indexed="64"/>
      </patternFill>
    </fill>
    <fill>
      <patternFill patternType="solid">
        <fgColor theme="3"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53">
    <xf numFmtId="0" fontId="0" fillId="0" borderId="0" xfId="0"/>
    <xf numFmtId="0" fontId="4" fillId="0" borderId="1" xfId="0" applyFont="1" applyBorder="1" applyAlignment="1">
      <alignment vertical="center" wrapText="1"/>
    </xf>
    <xf numFmtId="0" fontId="0" fillId="0" borderId="0" xfId="0" applyAlignment="1">
      <alignment horizontal="left" vertical="center" indent="1"/>
    </xf>
    <xf numFmtId="0" fontId="8" fillId="0" borderId="0" xfId="0" applyFont="1" applyAlignment="1">
      <alignment horizontal="left" vertical="center" indent="1"/>
    </xf>
    <xf numFmtId="0" fontId="1" fillId="0" borderId="1" xfId="0" applyFont="1" applyBorder="1" applyAlignment="1">
      <alignment horizontal="center" vertical="center" wrapText="1"/>
    </xf>
    <xf numFmtId="0" fontId="12" fillId="0" borderId="1" xfId="0" applyFont="1" applyBorder="1"/>
    <xf numFmtId="0" fontId="4" fillId="0" borderId="1" xfId="0" applyFont="1" applyBorder="1"/>
    <xf numFmtId="0" fontId="2" fillId="6" borderId="1" xfId="0" applyFont="1" applyFill="1" applyBorder="1" applyAlignment="1">
      <alignment horizontal="center" vertical="top"/>
    </xf>
    <xf numFmtId="0" fontId="12" fillId="5" borderId="1" xfId="0" applyFont="1" applyFill="1" applyBorder="1"/>
    <xf numFmtId="0" fontId="12" fillId="7" borderId="1" xfId="0" applyFont="1" applyFill="1" applyBorder="1"/>
    <xf numFmtId="0" fontId="12" fillId="8" borderId="1" xfId="0" applyFont="1" applyFill="1" applyBorder="1"/>
    <xf numFmtId="0" fontId="4" fillId="5" borderId="1" xfId="0" applyFont="1" applyFill="1" applyBorder="1"/>
    <xf numFmtId="0" fontId="4" fillId="8" borderId="1" xfId="0" applyFont="1" applyFill="1" applyBorder="1"/>
    <xf numFmtId="0" fontId="4" fillId="7" borderId="1" xfId="0" applyFont="1" applyFill="1" applyBorder="1"/>
    <xf numFmtId="0" fontId="13" fillId="4" borderId="1" xfId="0" applyFont="1" applyFill="1" applyBorder="1" applyAlignment="1">
      <alignment vertical="center" wrapText="1"/>
    </xf>
    <xf numFmtId="0" fontId="12" fillId="8" borderId="1" xfId="0" quotePrefix="1" applyFont="1" applyFill="1" applyBorder="1"/>
    <xf numFmtId="0" fontId="12" fillId="8" borderId="1" xfId="0" applyFont="1" applyFill="1" applyBorder="1" applyAlignment="1">
      <alignment wrapText="1"/>
    </xf>
    <xf numFmtId="0" fontId="12" fillId="8" borderId="1" xfId="0" applyFont="1" applyFill="1" applyBorder="1" applyAlignment="1">
      <alignment vertical="center"/>
    </xf>
    <xf numFmtId="0" fontId="12" fillId="8" borderId="1" xfId="0" applyFont="1" applyFill="1" applyBorder="1" applyAlignment="1">
      <alignment vertical="center" wrapText="1"/>
    </xf>
    <xf numFmtId="0" fontId="4" fillId="8" borderId="1" xfId="0" quotePrefix="1" applyFont="1" applyFill="1" applyBorder="1" applyAlignment="1">
      <alignment vertical="center"/>
    </xf>
    <xf numFmtId="0" fontId="5" fillId="0" borderId="1" xfId="0" applyFont="1" applyBorder="1" applyAlignment="1">
      <alignment horizontal="left" vertical="center" wrapText="1"/>
    </xf>
    <xf numFmtId="0" fontId="3" fillId="0" borderId="1" xfId="1" applyBorder="1" applyAlignment="1">
      <alignment horizontal="center" vertical="center" wrapText="1"/>
    </xf>
    <xf numFmtId="0" fontId="7" fillId="5" borderId="0" xfId="0" applyFont="1" applyFill="1" applyAlignment="1">
      <alignment horizontal="left" vertical="center"/>
    </xf>
    <xf numFmtId="0" fontId="11" fillId="3" borderId="1" xfId="0" applyFont="1" applyFill="1" applyBorder="1" applyAlignment="1">
      <alignment horizontal="center"/>
    </xf>
    <xf numFmtId="0" fontId="13" fillId="4" borderId="1" xfId="0" applyFont="1" applyFill="1" applyBorder="1" applyAlignment="1">
      <alignment horizontal="center" vertical="center" wrapText="1"/>
    </xf>
    <xf numFmtId="0" fontId="10" fillId="2" borderId="0" xfId="0" applyFont="1" applyFill="1" applyAlignment="1">
      <alignment horizontal="center"/>
    </xf>
    <xf numFmtId="0" fontId="6" fillId="2" borderId="0" xfId="0" applyFont="1" applyFill="1" applyAlignment="1">
      <alignment horizontal="center"/>
    </xf>
    <xf numFmtId="0" fontId="5" fillId="0" borderId="1" xfId="0" applyFont="1" applyBorder="1" applyAlignment="1">
      <alignment horizontal="left" wrapText="1"/>
    </xf>
    <xf numFmtId="14" fontId="5" fillId="0" borderId="1" xfId="0" applyNumberFormat="1" applyFont="1" applyBorder="1" applyAlignment="1">
      <alignment horizontal="left" vertical="center" wrapText="1"/>
    </xf>
    <xf numFmtId="0" fontId="0" fillId="0" borderId="1" xfId="0" applyBorder="1"/>
    <xf numFmtId="0" fontId="0" fillId="0" borderId="1" xfId="0" applyNumberFormat="1" applyBorder="1"/>
    <xf numFmtId="0" fontId="0" fillId="7" borderId="1" xfId="0" applyFill="1" applyBorder="1"/>
    <xf numFmtId="0" fontId="0" fillId="8" borderId="0" xfId="0" applyFill="1"/>
    <xf numFmtId="0" fontId="0" fillId="0" borderId="1" xfId="0" applyFont="1" applyBorder="1"/>
    <xf numFmtId="0" fontId="2" fillId="9" borderId="1" xfId="0" applyFont="1" applyFill="1" applyBorder="1" applyAlignment="1">
      <alignment horizontal="center" vertical="top"/>
    </xf>
    <xf numFmtId="0" fontId="2" fillId="6" borderId="2" xfId="0" applyFont="1" applyFill="1" applyBorder="1" applyAlignment="1">
      <alignment horizontal="center" vertical="top"/>
    </xf>
    <xf numFmtId="0" fontId="12" fillId="5" borderId="2" xfId="0" applyFont="1" applyFill="1" applyBorder="1"/>
    <xf numFmtId="0" fontId="12" fillId="8" borderId="2" xfId="0" applyFont="1" applyFill="1" applyBorder="1"/>
    <xf numFmtId="0" fontId="2" fillId="9" borderId="1" xfId="0" applyFont="1" applyFill="1" applyBorder="1"/>
    <xf numFmtId="0" fontId="0" fillId="5" borderId="1" xfId="0" applyFill="1" applyBorder="1"/>
    <xf numFmtId="0" fontId="1" fillId="7" borderId="1" xfId="0" applyFont="1" applyFill="1" applyBorder="1"/>
    <xf numFmtId="0" fontId="12" fillId="7" borderId="1" xfId="0" applyFont="1" applyFill="1" applyBorder="1" applyAlignment="1">
      <alignment wrapText="1"/>
    </xf>
    <xf numFmtId="0" fontId="12" fillId="7" borderId="1" xfId="0" quotePrefix="1" applyFont="1" applyFill="1" applyBorder="1"/>
    <xf numFmtId="0" fontId="1" fillId="5" borderId="1" xfId="0" applyFont="1" applyFill="1" applyBorder="1"/>
    <xf numFmtId="0" fontId="2" fillId="6" borderId="1" xfId="0" applyFont="1" applyFill="1" applyBorder="1"/>
    <xf numFmtId="0" fontId="12" fillId="7" borderId="1" xfId="0" applyFont="1" applyFill="1" applyBorder="1" applyAlignment="1">
      <alignment vertical="center"/>
    </xf>
    <xf numFmtId="0" fontId="12" fillId="7" borderId="1" xfId="0" quotePrefix="1" applyFont="1" applyFill="1" applyBorder="1" applyAlignment="1">
      <alignment vertical="center"/>
    </xf>
    <xf numFmtId="0" fontId="4" fillId="7" borderId="1" xfId="0" applyFont="1" applyFill="1" applyBorder="1" applyAlignment="1">
      <alignment vertical="center"/>
    </xf>
    <xf numFmtId="0" fontId="12" fillId="7" borderId="1" xfId="0" applyFont="1" applyFill="1" applyBorder="1" applyAlignment="1">
      <alignmen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1" fillId="0" borderId="1" xfId="0" applyFont="1" applyBorder="1" applyAlignment="1">
      <alignment horizontal="center" vertical="center"/>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9</xdr:col>
      <xdr:colOff>304800</xdr:colOff>
      <xdr:row>3</xdr:row>
      <xdr:rowOff>304800</xdr:rowOff>
    </xdr:to>
    <xdr:sp macro="" textlink="">
      <xdr:nvSpPr>
        <xdr:cNvPr id="1025" name="AutoShape 1" descr="A realistic wildlife zoo scene that includes a wider variety of species such as snakes, birds, and reptiles, alongside larger animals like lions, giraffes, zebras, and elephants. The setting features naturalistic enclosures with trees, water areas, and rock formations, with birds flying overhead, reptiles basking in the sun, and snakes coiled near rocks. The atmosphere is vibrant, showcasing the diversity of species in the zoo, and visitors can be seen observing the animals from a safe distance. The overall feel is a blend of nature and wildlife in a peaceful sanctuary.">
          <a:extLst>
            <a:ext uri="{FF2B5EF4-FFF2-40B4-BE49-F238E27FC236}">
              <a16:creationId xmlns:a16="http://schemas.microsoft.com/office/drawing/2014/main" id="{0FDE9FAF-68F7-41DD-B344-C52F2A022AFA}"/>
            </a:ext>
          </a:extLst>
        </xdr:cNvPr>
        <xdr:cNvSpPr>
          <a:spLocks noChangeAspect="1" noChangeArrowheads="1"/>
        </xdr:cNvSpPr>
      </xdr:nvSpPr>
      <xdr:spPr bwMode="auto">
        <a:xfrm>
          <a:off x="7520940" y="1539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13138</xdr:colOff>
      <xdr:row>0</xdr:row>
      <xdr:rowOff>6569</xdr:rowOff>
    </xdr:from>
    <xdr:to>
      <xdr:col>14</xdr:col>
      <xdr:colOff>180567</xdr:colOff>
      <xdr:row>11</xdr:row>
      <xdr:rowOff>65690</xdr:rowOff>
    </xdr:to>
    <xdr:pic>
      <xdr:nvPicPr>
        <xdr:cNvPr id="2" name="Imagen 1">
          <a:extLst>
            <a:ext uri="{FF2B5EF4-FFF2-40B4-BE49-F238E27FC236}">
              <a16:creationId xmlns:a16="http://schemas.microsoft.com/office/drawing/2014/main" id="{6CB9A790-7A79-7FEF-83CC-0924DD23AF05}"/>
            </a:ext>
          </a:extLst>
        </xdr:cNvPr>
        <xdr:cNvPicPr>
          <a:picLocks noChangeAspect="1"/>
        </xdr:cNvPicPr>
      </xdr:nvPicPr>
      <xdr:blipFill>
        <a:blip xmlns:r="http://schemas.openxmlformats.org/officeDocument/2006/relationships" r:embed="rId1"/>
        <a:stretch>
          <a:fillRect/>
        </a:stretch>
      </xdr:blipFill>
      <xdr:spPr>
        <a:xfrm>
          <a:off x="7232431" y="6569"/>
          <a:ext cx="4936498" cy="494643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450DB-CBA5-4825-8615-F0DCB265D8CD}">
  <dimension ref="A1:H41"/>
  <sheetViews>
    <sheetView tabSelected="1" topLeftCell="A34" zoomScale="116" workbookViewId="0">
      <selection activeCell="F30" sqref="F30:H30"/>
    </sheetView>
  </sheetViews>
  <sheetFormatPr baseColWidth="10" defaultRowHeight="14.4" x14ac:dyDescent="0.3"/>
  <cols>
    <col min="1" max="1" width="24.109375" customWidth="1"/>
    <col min="2" max="2" width="11.5546875" customWidth="1"/>
    <col min="8" max="8" width="26" customWidth="1"/>
  </cols>
  <sheetData>
    <row r="1" spans="1:8" ht="32.4" x14ac:dyDescent="0.55000000000000004">
      <c r="A1" s="25" t="s">
        <v>37</v>
      </c>
      <c r="B1" s="26"/>
      <c r="C1" s="26"/>
      <c r="D1" s="26"/>
      <c r="E1" s="26"/>
      <c r="F1" s="26"/>
      <c r="G1" s="26"/>
      <c r="H1" s="26"/>
    </row>
    <row r="2" spans="1:8" ht="23.4" x14ac:dyDescent="0.45">
      <c r="A2" s="23" t="s">
        <v>16</v>
      </c>
      <c r="B2" s="23"/>
      <c r="C2" s="23"/>
      <c r="D2" s="23"/>
      <c r="E2" s="23"/>
      <c r="F2" s="23"/>
      <c r="G2" s="23"/>
      <c r="H2" s="23"/>
    </row>
    <row r="3" spans="1:8" ht="65.400000000000006" customHeight="1" x14ac:dyDescent="0.3">
      <c r="A3" s="1" t="s">
        <v>3</v>
      </c>
      <c r="B3" s="27" t="s">
        <v>39</v>
      </c>
      <c r="C3" s="27"/>
      <c r="D3" s="27"/>
      <c r="E3" s="27"/>
      <c r="F3" s="27"/>
      <c r="G3" s="27"/>
      <c r="H3" s="27"/>
    </row>
    <row r="4" spans="1:8" ht="46.8" customHeight="1" x14ac:dyDescent="0.3">
      <c r="A4" s="1" t="s">
        <v>10</v>
      </c>
      <c r="B4" s="20" t="s">
        <v>40</v>
      </c>
      <c r="C4" s="20"/>
      <c r="D4" s="20"/>
      <c r="E4" s="20"/>
      <c r="F4" s="20"/>
      <c r="G4" s="20"/>
      <c r="H4" s="20"/>
    </row>
    <row r="5" spans="1:8" ht="33.6" customHeight="1" x14ac:dyDescent="0.3">
      <c r="A5" s="1" t="s">
        <v>11</v>
      </c>
      <c r="B5" s="28">
        <v>46325</v>
      </c>
      <c r="C5" s="20"/>
      <c r="D5" s="20"/>
      <c r="E5" s="20"/>
      <c r="F5" s="20"/>
      <c r="G5" s="20"/>
      <c r="H5" s="20"/>
    </row>
    <row r="6" spans="1:8" ht="28.2" customHeight="1" x14ac:dyDescent="0.3">
      <c r="A6" s="1" t="s">
        <v>12</v>
      </c>
      <c r="B6" s="20" t="s">
        <v>38</v>
      </c>
      <c r="C6" s="20"/>
      <c r="D6" s="20"/>
      <c r="E6" s="20"/>
      <c r="F6" s="20"/>
      <c r="G6" s="20"/>
      <c r="H6" s="20"/>
    </row>
    <row r="7" spans="1:8" ht="38.4" customHeight="1" x14ac:dyDescent="0.3">
      <c r="A7" s="1" t="s">
        <v>13</v>
      </c>
      <c r="B7" s="28">
        <v>46325</v>
      </c>
      <c r="C7" s="20"/>
      <c r="D7" s="20"/>
      <c r="E7" s="20"/>
      <c r="F7" s="20"/>
      <c r="G7" s="20"/>
      <c r="H7" s="20"/>
    </row>
    <row r="8" spans="1:8" x14ac:dyDescent="0.3">
      <c r="A8" s="1" t="s">
        <v>14</v>
      </c>
      <c r="B8" s="20" t="s">
        <v>15</v>
      </c>
      <c r="C8" s="20"/>
      <c r="D8" s="20"/>
      <c r="E8" s="20"/>
      <c r="F8" s="20"/>
      <c r="G8" s="20"/>
      <c r="H8" s="20"/>
    </row>
    <row r="9" spans="1:8" ht="23.4" x14ac:dyDescent="0.45">
      <c r="A9" s="23" t="s">
        <v>17</v>
      </c>
      <c r="B9" s="23"/>
      <c r="C9" s="23"/>
      <c r="D9" s="23"/>
      <c r="E9" s="23"/>
      <c r="F9" s="23"/>
      <c r="G9" s="23"/>
      <c r="H9" s="23"/>
    </row>
    <row r="10" spans="1:8" ht="48.6" customHeight="1" x14ac:dyDescent="0.3">
      <c r="A10" s="1" t="s">
        <v>18</v>
      </c>
      <c r="B10" s="20" t="s">
        <v>41</v>
      </c>
      <c r="C10" s="20"/>
      <c r="D10" s="20"/>
      <c r="E10" s="20"/>
      <c r="F10" s="20"/>
      <c r="G10" s="20"/>
      <c r="H10" s="20"/>
    </row>
    <row r="11" spans="1:8" ht="30.6" customHeight="1" x14ac:dyDescent="0.3">
      <c r="A11" s="1" t="s">
        <v>19</v>
      </c>
      <c r="B11" s="20" t="s">
        <v>42</v>
      </c>
      <c r="C11" s="20"/>
      <c r="D11" s="20"/>
      <c r="E11" s="20"/>
      <c r="F11" s="20"/>
      <c r="G11" s="20"/>
      <c r="H11" s="20"/>
    </row>
    <row r="12" spans="1:8" ht="29.4" customHeight="1" x14ac:dyDescent="0.3">
      <c r="A12" s="1" t="s">
        <v>20</v>
      </c>
      <c r="B12" s="20" t="s">
        <v>43</v>
      </c>
      <c r="C12" s="20"/>
      <c r="D12" s="20"/>
      <c r="E12" s="20"/>
      <c r="F12" s="20"/>
      <c r="G12" s="20"/>
      <c r="H12" s="20"/>
    </row>
    <row r="13" spans="1:8" ht="34.200000000000003" customHeight="1" x14ac:dyDescent="0.3">
      <c r="A13" s="1" t="s">
        <v>21</v>
      </c>
      <c r="B13" s="20" t="s">
        <v>44</v>
      </c>
      <c r="C13" s="20"/>
      <c r="D13" s="20"/>
      <c r="E13" s="20"/>
      <c r="F13" s="20"/>
      <c r="G13" s="20"/>
      <c r="H13" s="20"/>
    </row>
    <row r="14" spans="1:8" ht="23.4" x14ac:dyDescent="0.45">
      <c r="A14" s="23" t="s">
        <v>27</v>
      </c>
      <c r="B14" s="23"/>
      <c r="C14" s="23"/>
      <c r="D14" s="23"/>
      <c r="E14" s="23"/>
      <c r="F14" s="23"/>
      <c r="G14" s="23"/>
      <c r="H14" s="23"/>
    </row>
    <row r="15" spans="1:8" ht="18" x14ac:dyDescent="0.3">
      <c r="A15" s="14" t="s">
        <v>28</v>
      </c>
      <c r="B15" s="24" t="s">
        <v>29</v>
      </c>
      <c r="C15" s="24"/>
      <c r="D15" s="24"/>
      <c r="E15" s="24"/>
      <c r="F15" s="24" t="s">
        <v>30</v>
      </c>
      <c r="G15" s="24"/>
      <c r="H15" s="24"/>
    </row>
    <row r="16" spans="1:8" ht="51.6" customHeight="1" x14ac:dyDescent="0.3">
      <c r="A16" s="4" t="s">
        <v>45</v>
      </c>
      <c r="B16" s="20" t="s">
        <v>46</v>
      </c>
      <c r="C16" s="20"/>
      <c r="D16" s="20"/>
      <c r="E16" s="20"/>
      <c r="F16" s="21" t="str">
        <f>HYPERLINK("#'" &amp; A16 &amp; "'!A1", A16 &amp; "_LINK")</f>
        <v>DEPARTMENTS_LINK</v>
      </c>
      <c r="G16" s="21"/>
      <c r="H16" s="21"/>
    </row>
    <row r="17" spans="1:8" ht="57" customHeight="1" x14ac:dyDescent="0.3">
      <c r="A17" s="4" t="s">
        <v>47</v>
      </c>
      <c r="B17" s="20" t="s">
        <v>54</v>
      </c>
      <c r="C17" s="20"/>
      <c r="D17" s="20"/>
      <c r="E17" s="20"/>
      <c r="F17" s="21" t="str">
        <f t="shared" ref="F17:F30" si="0">HYPERLINK("#'" &amp; A17 &amp; "'!A1", A17 &amp; "_LINK")</f>
        <v>MUNICIPALITIES_LINK</v>
      </c>
      <c r="G17" s="21"/>
      <c r="H17" s="21"/>
    </row>
    <row r="18" spans="1:8" ht="63" customHeight="1" x14ac:dyDescent="0.3">
      <c r="A18" s="4" t="s">
        <v>48</v>
      </c>
      <c r="B18" s="20" t="s">
        <v>55</v>
      </c>
      <c r="C18" s="20"/>
      <c r="D18" s="20"/>
      <c r="E18" s="20"/>
      <c r="F18" s="21" t="str">
        <f t="shared" si="0"/>
        <v>FARMERS_LINK</v>
      </c>
      <c r="G18" s="21"/>
      <c r="H18" s="21"/>
    </row>
    <row r="19" spans="1:8" ht="58.2" customHeight="1" x14ac:dyDescent="0.3">
      <c r="A19" s="4" t="s">
        <v>49</v>
      </c>
      <c r="B19" s="20" t="s">
        <v>56</v>
      </c>
      <c r="C19" s="20"/>
      <c r="D19" s="20"/>
      <c r="E19" s="20"/>
      <c r="F19" s="21" t="str">
        <f t="shared" si="0"/>
        <v>FARMS_LINK</v>
      </c>
      <c r="G19" s="21"/>
      <c r="H19" s="21"/>
    </row>
    <row r="20" spans="1:8" ht="45" customHeight="1" x14ac:dyDescent="0.3">
      <c r="A20" s="4" t="s">
        <v>50</v>
      </c>
      <c r="B20" s="20" t="s">
        <v>57</v>
      </c>
      <c r="C20" s="20"/>
      <c r="D20" s="20"/>
      <c r="E20" s="20"/>
      <c r="F20" s="21" t="str">
        <f t="shared" si="0"/>
        <v>PLOTS_LINK</v>
      </c>
      <c r="G20" s="21"/>
      <c r="H20" s="21"/>
    </row>
    <row r="21" spans="1:8" ht="51.6" customHeight="1" x14ac:dyDescent="0.3">
      <c r="A21" s="4" t="s">
        <v>51</v>
      </c>
      <c r="B21" s="20" t="s">
        <v>58</v>
      </c>
      <c r="C21" s="20"/>
      <c r="D21" s="20"/>
      <c r="E21" s="20"/>
      <c r="F21" s="21" t="str">
        <f t="shared" si="0"/>
        <v>COFFEE_VARIETIES_LINK</v>
      </c>
      <c r="G21" s="21"/>
      <c r="H21" s="21"/>
    </row>
    <row r="22" spans="1:8" ht="50.4" customHeight="1" x14ac:dyDescent="0.3">
      <c r="A22" s="4" t="s">
        <v>241</v>
      </c>
      <c r="B22" s="20" t="s">
        <v>242</v>
      </c>
      <c r="C22" s="20"/>
      <c r="D22" s="20"/>
      <c r="E22" s="20"/>
      <c r="F22" s="21" t="str">
        <f t="shared" si="0"/>
        <v>PLOT_VARIETIES_LINK</v>
      </c>
      <c r="G22" s="21"/>
      <c r="H22" s="21"/>
    </row>
    <row r="23" spans="1:8" ht="50.4" customHeight="1" x14ac:dyDescent="0.3">
      <c r="A23" s="52" t="s">
        <v>243</v>
      </c>
      <c r="B23" s="49" t="s">
        <v>244</v>
      </c>
      <c r="C23" s="50"/>
      <c r="D23" s="50"/>
      <c r="E23" s="51"/>
      <c r="F23" s="21" t="str">
        <f t="shared" si="0"/>
        <v>CERTIFICATIONS_LINK</v>
      </c>
      <c r="G23" s="21"/>
      <c r="H23" s="21"/>
    </row>
    <row r="24" spans="1:8" ht="50.4" customHeight="1" x14ac:dyDescent="0.3">
      <c r="A24" s="52" t="s">
        <v>245</v>
      </c>
      <c r="B24" s="49" t="s">
        <v>246</v>
      </c>
      <c r="C24" s="50"/>
      <c r="D24" s="50"/>
      <c r="E24" s="51"/>
      <c r="F24" s="21" t="str">
        <f t="shared" si="0"/>
        <v>FARM_CERTIFICATIONS_LINK</v>
      </c>
      <c r="G24" s="21"/>
      <c r="H24" s="21"/>
    </row>
    <row r="25" spans="1:8" ht="42.6" customHeight="1" x14ac:dyDescent="0.3">
      <c r="A25" s="52" t="s">
        <v>247</v>
      </c>
      <c r="B25" s="49" t="s">
        <v>248</v>
      </c>
      <c r="C25" s="50"/>
      <c r="D25" s="50"/>
      <c r="E25" s="51"/>
      <c r="F25" s="21" t="str">
        <f t="shared" si="0"/>
        <v>COLLECTION_POINTS_LINK</v>
      </c>
      <c r="G25" s="21"/>
      <c r="H25" s="21"/>
    </row>
    <row r="26" spans="1:8" ht="42.6" customHeight="1" x14ac:dyDescent="0.3">
      <c r="A26" s="52" t="s">
        <v>249</v>
      </c>
      <c r="B26" s="49" t="s">
        <v>252</v>
      </c>
      <c r="C26" s="50"/>
      <c r="D26" s="50"/>
      <c r="E26" s="51"/>
      <c r="F26" s="21" t="str">
        <f t="shared" si="0"/>
        <v>DAILY_PRICES_LINK</v>
      </c>
      <c r="G26" s="21"/>
      <c r="H26" s="21"/>
    </row>
    <row r="27" spans="1:8" ht="52.2" customHeight="1" x14ac:dyDescent="0.3">
      <c r="A27" s="52" t="s">
        <v>52</v>
      </c>
      <c r="B27" s="49" t="s">
        <v>59</v>
      </c>
      <c r="C27" s="50"/>
      <c r="D27" s="50"/>
      <c r="E27" s="51"/>
      <c r="F27" s="21" t="str">
        <f t="shared" si="0"/>
        <v>DELIVERIES_LINK</v>
      </c>
      <c r="G27" s="21"/>
      <c r="H27" s="21"/>
    </row>
    <row r="28" spans="1:8" ht="52.2" customHeight="1" x14ac:dyDescent="0.3">
      <c r="A28" s="52" t="s">
        <v>250</v>
      </c>
      <c r="B28" s="49" t="s">
        <v>253</v>
      </c>
      <c r="C28" s="50"/>
      <c r="D28" s="50"/>
      <c r="E28" s="51"/>
      <c r="F28" s="21" t="str">
        <f t="shared" si="0"/>
        <v>QUALITY_ANALYSES_LINK</v>
      </c>
      <c r="G28" s="21"/>
      <c r="H28" s="21"/>
    </row>
    <row r="29" spans="1:8" ht="51.6" customHeight="1" x14ac:dyDescent="0.3">
      <c r="A29" s="52" t="s">
        <v>53</v>
      </c>
      <c r="B29" s="49" t="s">
        <v>60</v>
      </c>
      <c r="C29" s="50"/>
      <c r="D29" s="50"/>
      <c r="E29" s="51"/>
      <c r="F29" s="21" t="str">
        <f t="shared" si="0"/>
        <v>SETTLEMENTS_LINK</v>
      </c>
      <c r="G29" s="21"/>
      <c r="H29" s="21"/>
    </row>
    <row r="30" spans="1:8" ht="37.200000000000003" customHeight="1" x14ac:dyDescent="0.3">
      <c r="A30" s="52" t="s">
        <v>251</v>
      </c>
      <c r="B30" s="20" t="s">
        <v>254</v>
      </c>
      <c r="C30" s="20"/>
      <c r="D30" s="20"/>
      <c r="E30" s="20"/>
      <c r="F30" s="21" t="str">
        <f t="shared" si="0"/>
        <v>PAYMENTS_LINK</v>
      </c>
      <c r="G30" s="21"/>
      <c r="H30" s="21"/>
    </row>
    <row r="31" spans="1:8" ht="59.4" customHeight="1" x14ac:dyDescent="0.3"/>
    <row r="32" spans="1:8" ht="84" customHeight="1" x14ac:dyDescent="0.3">
      <c r="A32" s="22" t="s">
        <v>22</v>
      </c>
      <c r="B32" s="22"/>
    </row>
    <row r="33" spans="1:1" ht="55.8" customHeight="1" x14ac:dyDescent="0.3">
      <c r="A33" s="2"/>
    </row>
    <row r="34" spans="1:1" ht="75.599999999999994" customHeight="1" x14ac:dyDescent="0.3">
      <c r="A34" s="3" t="s">
        <v>23</v>
      </c>
    </row>
    <row r="35" spans="1:1" ht="15.6" x14ac:dyDescent="0.3">
      <c r="A35" s="3" t="s">
        <v>24</v>
      </c>
    </row>
    <row r="36" spans="1:1" ht="15.6" x14ac:dyDescent="0.3">
      <c r="A36" s="3" t="s">
        <v>25</v>
      </c>
    </row>
    <row r="37" spans="1:1" ht="15.6" x14ac:dyDescent="0.3">
      <c r="A37" s="3" t="s">
        <v>26</v>
      </c>
    </row>
    <row r="41" spans="1:1" ht="15.6" x14ac:dyDescent="0.3"/>
  </sheetData>
  <mergeCells count="47">
    <mergeCell ref="F29:H29"/>
    <mergeCell ref="F27:H27"/>
    <mergeCell ref="F26:H26"/>
    <mergeCell ref="B12:H12"/>
    <mergeCell ref="A1:H1"/>
    <mergeCell ref="B3:H3"/>
    <mergeCell ref="B4:H4"/>
    <mergeCell ref="B5:H5"/>
    <mergeCell ref="B6:H6"/>
    <mergeCell ref="B7:H7"/>
    <mergeCell ref="B8:H8"/>
    <mergeCell ref="A2:H2"/>
    <mergeCell ref="A9:H9"/>
    <mergeCell ref="B10:H10"/>
    <mergeCell ref="B11:H11"/>
    <mergeCell ref="B13:H13"/>
    <mergeCell ref="A32:B32"/>
    <mergeCell ref="A14:H14"/>
    <mergeCell ref="B15:E15"/>
    <mergeCell ref="F15:H15"/>
    <mergeCell ref="F16:H16"/>
    <mergeCell ref="B16:E16"/>
    <mergeCell ref="B17:E17"/>
    <mergeCell ref="F17:H17"/>
    <mergeCell ref="B18:E18"/>
    <mergeCell ref="F18:H18"/>
    <mergeCell ref="B19:E19"/>
    <mergeCell ref="F19:H19"/>
    <mergeCell ref="B20:E20"/>
    <mergeCell ref="F20:H20"/>
    <mergeCell ref="B26:E26"/>
    <mergeCell ref="B24:E24"/>
    <mergeCell ref="F24:H24"/>
    <mergeCell ref="B22:E22"/>
    <mergeCell ref="F22:H22"/>
    <mergeCell ref="B30:E30"/>
    <mergeCell ref="F30:H30"/>
    <mergeCell ref="B23:E23"/>
    <mergeCell ref="B25:E25"/>
    <mergeCell ref="F23:H23"/>
    <mergeCell ref="F25:H25"/>
    <mergeCell ref="B27:E27"/>
    <mergeCell ref="B28:E28"/>
    <mergeCell ref="B29:E29"/>
    <mergeCell ref="F28:H28"/>
    <mergeCell ref="B21:E21"/>
    <mergeCell ref="F21:H21"/>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0.249977111117893"/>
  </sheetPr>
  <dimension ref="A1:E3"/>
  <sheetViews>
    <sheetView zoomScale="175" workbookViewId="0"/>
  </sheetViews>
  <sheetFormatPr baseColWidth="10" defaultColWidth="8.88671875" defaultRowHeight="14.4" x14ac:dyDescent="0.3"/>
  <cols>
    <col min="1" max="1" width="13.88671875" customWidth="1"/>
    <col min="2" max="2" width="11.6640625" bestFit="1" customWidth="1"/>
    <col min="3" max="3" width="7.88671875" bestFit="1" customWidth="1"/>
    <col min="4" max="4" width="16.77734375" customWidth="1"/>
    <col min="5" max="5" width="32.5546875" bestFit="1" customWidth="1"/>
  </cols>
  <sheetData>
    <row r="1" spans="1:5" x14ac:dyDescent="0.3">
      <c r="A1" s="7" t="s">
        <v>0</v>
      </c>
      <c r="B1" s="7" t="s">
        <v>1</v>
      </c>
      <c r="C1" s="7" t="s">
        <v>2</v>
      </c>
      <c r="D1" s="7" t="s">
        <v>31</v>
      </c>
      <c r="E1" s="7" t="s">
        <v>3</v>
      </c>
    </row>
    <row r="2" spans="1:5" x14ac:dyDescent="0.3">
      <c r="A2" s="8" t="s">
        <v>61</v>
      </c>
      <c r="B2" s="8" t="s">
        <v>7</v>
      </c>
      <c r="C2" s="8">
        <v>2</v>
      </c>
      <c r="D2" s="11" t="s">
        <v>32</v>
      </c>
      <c r="E2" s="8" t="s">
        <v>62</v>
      </c>
    </row>
    <row r="3" spans="1:5" x14ac:dyDescent="0.3">
      <c r="A3" s="10" t="s">
        <v>63</v>
      </c>
      <c r="B3" s="10" t="s">
        <v>7</v>
      </c>
      <c r="C3" s="10">
        <v>100</v>
      </c>
      <c r="D3" s="12" t="s">
        <v>64</v>
      </c>
      <c r="E3" s="10" t="s">
        <v>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2" tint="-0.249977111117893"/>
  </sheetPr>
  <dimension ref="A1:E4"/>
  <sheetViews>
    <sheetView zoomScale="222" workbookViewId="0">
      <selection activeCell="C11" sqref="C11"/>
    </sheetView>
  </sheetViews>
  <sheetFormatPr baseColWidth="10" defaultColWidth="8.88671875" defaultRowHeight="14.4" x14ac:dyDescent="0.3"/>
  <cols>
    <col min="1" max="1" width="14.6640625" customWidth="1"/>
    <col min="2" max="2" width="11.6640625" bestFit="1" customWidth="1"/>
    <col min="3" max="3" width="7.88671875" bestFit="1" customWidth="1"/>
    <col min="4" max="4" width="10.109375" bestFit="1" customWidth="1"/>
    <col min="5" max="5" width="37.33203125" customWidth="1"/>
  </cols>
  <sheetData>
    <row r="1" spans="1:5" x14ac:dyDescent="0.3">
      <c r="A1" s="7" t="s">
        <v>0</v>
      </c>
      <c r="B1" s="7" t="s">
        <v>1</v>
      </c>
      <c r="C1" s="7" t="s">
        <v>2</v>
      </c>
      <c r="D1" s="7" t="s">
        <v>31</v>
      </c>
      <c r="E1" s="7" t="s">
        <v>3</v>
      </c>
    </row>
    <row r="2" spans="1:5" x14ac:dyDescent="0.3">
      <c r="A2" s="8" t="s">
        <v>66</v>
      </c>
      <c r="B2" s="8" t="s">
        <v>7</v>
      </c>
      <c r="C2" s="8">
        <v>5</v>
      </c>
      <c r="D2" s="11" t="s">
        <v>32</v>
      </c>
      <c r="E2" s="8" t="s">
        <v>67</v>
      </c>
    </row>
    <row r="3" spans="1:5" x14ac:dyDescent="0.3">
      <c r="A3" s="10" t="s">
        <v>68</v>
      </c>
      <c r="B3" s="10" t="s">
        <v>7</v>
      </c>
      <c r="C3" s="10">
        <v>100</v>
      </c>
      <c r="D3" s="12" t="s">
        <v>33</v>
      </c>
      <c r="E3" s="10" t="s">
        <v>69</v>
      </c>
    </row>
    <row r="4" spans="1:5" x14ac:dyDescent="0.3">
      <c r="A4" s="5" t="s">
        <v>61</v>
      </c>
      <c r="B4" s="5" t="s">
        <v>7</v>
      </c>
      <c r="C4" s="5">
        <v>2</v>
      </c>
      <c r="D4" s="6" t="s">
        <v>35</v>
      </c>
      <c r="E4" s="5" t="s">
        <v>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tint="-0.249977111117893"/>
  </sheetPr>
  <dimension ref="A1:E12"/>
  <sheetViews>
    <sheetView zoomScale="171" workbookViewId="0">
      <selection activeCell="A12" sqref="A12:E12"/>
    </sheetView>
  </sheetViews>
  <sheetFormatPr baseColWidth="10" defaultColWidth="8.88671875" defaultRowHeight="14.4" x14ac:dyDescent="0.3"/>
  <cols>
    <col min="1" max="1" width="15.77734375" customWidth="1"/>
    <col min="2" max="2" width="11.6640625" bestFit="1" customWidth="1"/>
    <col min="3" max="3" width="7.88671875" bestFit="1" customWidth="1"/>
    <col min="4" max="4" width="16.5546875" customWidth="1"/>
    <col min="5" max="5" width="37.109375" customWidth="1"/>
  </cols>
  <sheetData>
    <row r="1" spans="1:5" x14ac:dyDescent="0.3">
      <c r="A1" s="7" t="s">
        <v>0</v>
      </c>
      <c r="B1" s="7" t="s">
        <v>1</v>
      </c>
      <c r="C1" s="7" t="s">
        <v>2</v>
      </c>
      <c r="D1" s="7" t="s">
        <v>31</v>
      </c>
      <c r="E1" s="7" t="s">
        <v>3</v>
      </c>
    </row>
    <row r="2" spans="1:5" x14ac:dyDescent="0.3">
      <c r="A2" s="8" t="s">
        <v>71</v>
      </c>
      <c r="B2" s="8" t="s">
        <v>6</v>
      </c>
      <c r="C2" s="8" t="s">
        <v>9</v>
      </c>
      <c r="D2" s="11" t="s">
        <v>32</v>
      </c>
      <c r="E2" s="8" t="s">
        <v>72</v>
      </c>
    </row>
    <row r="3" spans="1:5" x14ac:dyDescent="0.3">
      <c r="A3" s="10" t="s">
        <v>73</v>
      </c>
      <c r="B3" s="10" t="s">
        <v>7</v>
      </c>
      <c r="C3" s="10">
        <v>20</v>
      </c>
      <c r="D3" s="12" t="s">
        <v>64</v>
      </c>
      <c r="E3" s="10" t="s">
        <v>74</v>
      </c>
    </row>
    <row r="4" spans="1:5" x14ac:dyDescent="0.3">
      <c r="A4" s="29" t="s">
        <v>75</v>
      </c>
      <c r="B4" s="29" t="s">
        <v>7</v>
      </c>
      <c r="C4" s="29">
        <v>50</v>
      </c>
      <c r="D4" s="29" t="s">
        <v>33</v>
      </c>
      <c r="E4" s="29" t="s">
        <v>76</v>
      </c>
    </row>
    <row r="5" spans="1:5" x14ac:dyDescent="0.3">
      <c r="A5" s="29" t="s">
        <v>77</v>
      </c>
      <c r="B5" s="29" t="s">
        <v>7</v>
      </c>
      <c r="C5" s="29">
        <v>50</v>
      </c>
      <c r="D5" s="29" t="s">
        <v>33</v>
      </c>
      <c r="E5" s="29" t="s">
        <v>78</v>
      </c>
    </row>
    <row r="6" spans="1:5" x14ac:dyDescent="0.3">
      <c r="A6" s="29" t="s">
        <v>79</v>
      </c>
      <c r="B6" s="29" t="s">
        <v>8</v>
      </c>
      <c r="C6" s="29" t="s">
        <v>9</v>
      </c>
      <c r="D6" s="29" t="s">
        <v>33</v>
      </c>
      <c r="E6" s="29" t="s">
        <v>80</v>
      </c>
    </row>
    <row r="7" spans="1:5" x14ac:dyDescent="0.3">
      <c r="A7" s="29" t="s">
        <v>81</v>
      </c>
      <c r="B7" s="29" t="s">
        <v>82</v>
      </c>
      <c r="C7" s="29">
        <v>1</v>
      </c>
      <c r="D7" s="29" t="s">
        <v>33</v>
      </c>
      <c r="E7" s="29" t="s">
        <v>83</v>
      </c>
    </row>
    <row r="8" spans="1:5" x14ac:dyDescent="0.3">
      <c r="A8" s="29" t="s">
        <v>84</v>
      </c>
      <c r="B8" s="29" t="s">
        <v>7</v>
      </c>
      <c r="C8" s="29">
        <v>20</v>
      </c>
      <c r="D8" s="29" t="s">
        <v>34</v>
      </c>
      <c r="E8" s="29" t="s">
        <v>85</v>
      </c>
    </row>
    <row r="9" spans="1:5" x14ac:dyDescent="0.3">
      <c r="A9" s="29" t="s">
        <v>86</v>
      </c>
      <c r="B9" s="29" t="s">
        <v>7</v>
      </c>
      <c r="C9" s="29">
        <v>100</v>
      </c>
      <c r="D9" s="29" t="s">
        <v>87</v>
      </c>
      <c r="E9" s="29" t="s">
        <v>88</v>
      </c>
    </row>
    <row r="10" spans="1:5" x14ac:dyDescent="0.3">
      <c r="A10" s="29" t="s">
        <v>89</v>
      </c>
      <c r="B10" s="29" t="s">
        <v>8</v>
      </c>
      <c r="C10" s="29" t="s">
        <v>9</v>
      </c>
      <c r="D10" s="29" t="s">
        <v>33</v>
      </c>
      <c r="E10" s="29" t="s">
        <v>90</v>
      </c>
    </row>
    <row r="11" spans="1:5" x14ac:dyDescent="0.3">
      <c r="A11" s="29" t="s">
        <v>91</v>
      </c>
      <c r="B11" s="29" t="s">
        <v>92</v>
      </c>
      <c r="C11" s="29" t="s">
        <v>9</v>
      </c>
      <c r="D11" s="29" t="s">
        <v>33</v>
      </c>
      <c r="E11" s="29" t="s">
        <v>93</v>
      </c>
    </row>
    <row r="12" spans="1:5" s="32" customFormat="1" x14ac:dyDescent="0.3">
      <c r="A12" s="31" t="s">
        <v>66</v>
      </c>
      <c r="B12" s="31" t="s">
        <v>7</v>
      </c>
      <c r="C12" s="31">
        <v>5</v>
      </c>
      <c r="D12" s="31" t="s">
        <v>35</v>
      </c>
      <c r="E12" s="31" t="s">
        <v>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tint="-0.249977111117893"/>
  </sheetPr>
  <dimension ref="A1:E11"/>
  <sheetViews>
    <sheetView zoomScale="140" workbookViewId="0">
      <selection activeCell="E5" sqref="E5"/>
    </sheetView>
  </sheetViews>
  <sheetFormatPr baseColWidth="10" defaultColWidth="8.88671875" defaultRowHeight="14.4" x14ac:dyDescent="0.3"/>
  <cols>
    <col min="1" max="1" width="20" customWidth="1"/>
    <col min="2" max="2" width="11.6640625" bestFit="1" customWidth="1"/>
    <col min="3" max="3" width="7.88671875" bestFit="1" customWidth="1"/>
    <col min="4" max="4" width="10.109375" bestFit="1" customWidth="1"/>
    <col min="5" max="5" width="44" customWidth="1"/>
  </cols>
  <sheetData>
    <row r="1" spans="1:5" x14ac:dyDescent="0.3">
      <c r="A1" s="7" t="s">
        <v>0</v>
      </c>
      <c r="B1" s="7" t="s">
        <v>1</v>
      </c>
      <c r="C1" s="7" t="s">
        <v>2</v>
      </c>
      <c r="D1" s="7" t="s">
        <v>31</v>
      </c>
      <c r="E1" s="7" t="s">
        <v>3</v>
      </c>
    </row>
    <row r="2" spans="1:5" x14ac:dyDescent="0.3">
      <c r="A2" s="8" t="s">
        <v>95</v>
      </c>
      <c r="B2" s="8" t="s">
        <v>6</v>
      </c>
      <c r="C2" s="8" t="s">
        <v>9</v>
      </c>
      <c r="D2" s="11" t="s">
        <v>32</v>
      </c>
      <c r="E2" s="8" t="s">
        <v>96</v>
      </c>
    </row>
    <row r="3" spans="1:5" s="32" customFormat="1" x14ac:dyDescent="0.3">
      <c r="A3" s="9" t="s">
        <v>71</v>
      </c>
      <c r="B3" s="9" t="s">
        <v>6</v>
      </c>
      <c r="C3" s="9" t="s">
        <v>9</v>
      </c>
      <c r="D3" s="13" t="s">
        <v>35</v>
      </c>
      <c r="E3" s="9" t="s">
        <v>97</v>
      </c>
    </row>
    <row r="4" spans="1:5" x14ac:dyDescent="0.3">
      <c r="A4" s="9" t="s">
        <v>66</v>
      </c>
      <c r="B4" s="9" t="s">
        <v>7</v>
      </c>
      <c r="C4" s="9">
        <v>5</v>
      </c>
      <c r="D4" s="13" t="s">
        <v>35</v>
      </c>
      <c r="E4" s="9" t="s">
        <v>98</v>
      </c>
    </row>
    <row r="5" spans="1:5" s="32" customFormat="1" x14ac:dyDescent="0.3">
      <c r="A5" s="10" t="s">
        <v>99</v>
      </c>
      <c r="B5" s="10" t="s">
        <v>7</v>
      </c>
      <c r="C5" s="10">
        <v>100</v>
      </c>
      <c r="D5" s="12" t="s">
        <v>33</v>
      </c>
      <c r="E5" s="10" t="s">
        <v>100</v>
      </c>
    </row>
    <row r="6" spans="1:5" x14ac:dyDescent="0.3">
      <c r="A6" s="29" t="s">
        <v>101</v>
      </c>
      <c r="B6" s="29" t="s">
        <v>7</v>
      </c>
      <c r="C6" s="29">
        <v>100</v>
      </c>
      <c r="D6" s="29" t="s">
        <v>33</v>
      </c>
      <c r="E6" s="29" t="s">
        <v>102</v>
      </c>
    </row>
    <row r="7" spans="1:5" x14ac:dyDescent="0.3">
      <c r="A7" s="29" t="s">
        <v>103</v>
      </c>
      <c r="B7" s="29" t="s">
        <v>36</v>
      </c>
      <c r="C7" s="29">
        <v>-8.1999999999999993</v>
      </c>
      <c r="D7" s="29" t="s">
        <v>33</v>
      </c>
      <c r="E7" s="29" t="s">
        <v>104</v>
      </c>
    </row>
    <row r="8" spans="1:5" x14ac:dyDescent="0.3">
      <c r="A8" s="29" t="s">
        <v>105</v>
      </c>
      <c r="B8" s="29" t="s">
        <v>106</v>
      </c>
      <c r="C8" s="30" t="s">
        <v>9</v>
      </c>
      <c r="D8" s="29" t="s">
        <v>33</v>
      </c>
      <c r="E8" s="29" t="s">
        <v>107</v>
      </c>
    </row>
    <row r="9" spans="1:5" x14ac:dyDescent="0.3">
      <c r="A9" s="29" t="s">
        <v>108</v>
      </c>
      <c r="B9" s="29" t="s">
        <v>36</v>
      </c>
      <c r="C9" s="29">
        <v>-10.8</v>
      </c>
      <c r="D9" s="29" t="s">
        <v>34</v>
      </c>
      <c r="E9" s="29" t="s">
        <v>109</v>
      </c>
    </row>
    <row r="10" spans="1:5" x14ac:dyDescent="0.3">
      <c r="A10" s="29" t="s">
        <v>110</v>
      </c>
      <c r="B10" s="29" t="s">
        <v>36</v>
      </c>
      <c r="C10" s="29">
        <v>-11.8</v>
      </c>
      <c r="D10" s="29" t="s">
        <v>34</v>
      </c>
      <c r="E10" s="29" t="s">
        <v>111</v>
      </c>
    </row>
    <row r="11" spans="1:5" x14ac:dyDescent="0.3">
      <c r="A11" s="29" t="s">
        <v>112</v>
      </c>
      <c r="B11" s="29" t="s">
        <v>113</v>
      </c>
      <c r="C11" s="29" t="s">
        <v>9</v>
      </c>
      <c r="D11" s="29" t="s">
        <v>33</v>
      </c>
      <c r="E11" s="29" t="s">
        <v>114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tint="-0.249977111117893"/>
  </sheetPr>
  <dimension ref="A1:E7"/>
  <sheetViews>
    <sheetView zoomScale="168" workbookViewId="0">
      <selection activeCell="D10" sqref="D10"/>
    </sheetView>
  </sheetViews>
  <sheetFormatPr baseColWidth="10" defaultColWidth="8.88671875" defaultRowHeight="14.4" x14ac:dyDescent="0.3"/>
  <cols>
    <col min="1" max="1" width="13.109375" customWidth="1"/>
    <col min="2" max="2" width="11.6640625" bestFit="1" customWidth="1"/>
    <col min="3" max="3" width="7.88671875" bestFit="1" customWidth="1"/>
    <col min="4" max="4" width="10.109375" bestFit="1" customWidth="1"/>
    <col min="5" max="5" width="33.33203125" customWidth="1"/>
  </cols>
  <sheetData>
    <row r="1" spans="1:5" x14ac:dyDescent="0.3">
      <c r="A1" s="7" t="s">
        <v>0</v>
      </c>
      <c r="B1" s="7" t="s">
        <v>1</v>
      </c>
      <c r="C1" s="7" t="s">
        <v>2</v>
      </c>
      <c r="D1" s="7" t="s">
        <v>31</v>
      </c>
      <c r="E1" s="7" t="s">
        <v>3</v>
      </c>
    </row>
    <row r="2" spans="1:5" x14ac:dyDescent="0.3">
      <c r="A2" s="8" t="s">
        <v>115</v>
      </c>
      <c r="B2" s="8" t="s">
        <v>6</v>
      </c>
      <c r="C2" s="8" t="s">
        <v>9</v>
      </c>
      <c r="D2" s="11" t="s">
        <v>32</v>
      </c>
      <c r="E2" s="8" t="s">
        <v>116</v>
      </c>
    </row>
    <row r="3" spans="1:5" s="32" customFormat="1" x14ac:dyDescent="0.3">
      <c r="A3" s="9" t="s">
        <v>95</v>
      </c>
      <c r="B3" s="9" t="s">
        <v>6</v>
      </c>
      <c r="C3" s="9" t="s">
        <v>9</v>
      </c>
      <c r="D3" s="13" t="s">
        <v>35</v>
      </c>
      <c r="E3" s="9" t="s">
        <v>117</v>
      </c>
    </row>
    <row r="4" spans="1:5" x14ac:dyDescent="0.3">
      <c r="A4" s="10" t="s">
        <v>118</v>
      </c>
      <c r="B4" s="10" t="s">
        <v>7</v>
      </c>
      <c r="C4" s="10">
        <v>20</v>
      </c>
      <c r="D4" s="12" t="s">
        <v>33</v>
      </c>
      <c r="E4" s="10" t="s">
        <v>119</v>
      </c>
    </row>
    <row r="5" spans="1:5" x14ac:dyDescent="0.3">
      <c r="A5" s="29" t="s">
        <v>120</v>
      </c>
      <c r="B5" s="29" t="s">
        <v>36</v>
      </c>
      <c r="C5" s="29">
        <v>-8.1999999999999993</v>
      </c>
      <c r="D5" s="29" t="s">
        <v>33</v>
      </c>
      <c r="E5" s="29" t="s">
        <v>121</v>
      </c>
    </row>
    <row r="6" spans="1:5" x14ac:dyDescent="0.3">
      <c r="A6" s="29" t="s">
        <v>122</v>
      </c>
      <c r="B6" s="29" t="s">
        <v>106</v>
      </c>
      <c r="C6" s="29" t="s">
        <v>9</v>
      </c>
      <c r="D6" s="29" t="s">
        <v>33</v>
      </c>
      <c r="E6" s="29" t="s">
        <v>123</v>
      </c>
    </row>
    <row r="7" spans="1:5" x14ac:dyDescent="0.3">
      <c r="A7" s="29" t="s">
        <v>124</v>
      </c>
      <c r="B7" s="29" t="s">
        <v>7</v>
      </c>
      <c r="C7" s="29">
        <v>30</v>
      </c>
      <c r="D7" s="29" t="s">
        <v>33</v>
      </c>
      <c r="E7" s="29" t="s">
        <v>125</v>
      </c>
    </row>
  </sheetData>
  <phoneticPr fontId="1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2" tint="-0.249977111117893"/>
  </sheetPr>
  <dimension ref="A1:E6"/>
  <sheetViews>
    <sheetView zoomScale="176" workbookViewId="0">
      <selection activeCell="D13" sqref="D13"/>
    </sheetView>
  </sheetViews>
  <sheetFormatPr baseColWidth="10" defaultColWidth="8.88671875" defaultRowHeight="14.4" x14ac:dyDescent="0.3"/>
  <cols>
    <col min="1" max="1" width="13.33203125" customWidth="1"/>
    <col min="2" max="2" width="11.6640625" bestFit="1" customWidth="1"/>
    <col min="3" max="3" width="7.88671875" bestFit="1" customWidth="1"/>
    <col min="4" max="4" width="16.77734375" customWidth="1"/>
    <col min="5" max="5" width="44.44140625" bestFit="1" customWidth="1"/>
  </cols>
  <sheetData>
    <row r="1" spans="1:5" x14ac:dyDescent="0.3">
      <c r="A1" s="7" t="s">
        <v>0</v>
      </c>
      <c r="B1" s="7" t="s">
        <v>1</v>
      </c>
      <c r="C1" s="7" t="s">
        <v>2</v>
      </c>
      <c r="D1" s="7" t="s">
        <v>31</v>
      </c>
      <c r="E1" s="7" t="s">
        <v>3</v>
      </c>
    </row>
    <row r="2" spans="1:5" x14ac:dyDescent="0.3">
      <c r="A2" s="8" t="s">
        <v>126</v>
      </c>
      <c r="B2" s="8" t="s">
        <v>6</v>
      </c>
      <c r="C2" s="8" t="s">
        <v>9</v>
      </c>
      <c r="D2" s="11" t="s">
        <v>32</v>
      </c>
      <c r="E2" s="8" t="s">
        <v>127</v>
      </c>
    </row>
    <row r="3" spans="1:5" x14ac:dyDescent="0.3">
      <c r="A3" s="10" t="s">
        <v>128</v>
      </c>
      <c r="B3" s="10" t="s">
        <v>7</v>
      </c>
      <c r="C3" s="15">
        <v>50</v>
      </c>
      <c r="D3" s="12" t="s">
        <v>64</v>
      </c>
      <c r="E3" s="10" t="s">
        <v>129</v>
      </c>
    </row>
    <row r="4" spans="1:5" x14ac:dyDescent="0.3">
      <c r="A4" s="10" t="s">
        <v>130</v>
      </c>
      <c r="B4" s="10" t="s">
        <v>7</v>
      </c>
      <c r="C4" s="15">
        <v>30</v>
      </c>
      <c r="D4" s="12" t="s">
        <v>33</v>
      </c>
      <c r="E4" s="10" t="s">
        <v>131</v>
      </c>
    </row>
    <row r="5" spans="1:5" x14ac:dyDescent="0.3">
      <c r="A5" s="10" t="s">
        <v>132</v>
      </c>
      <c r="B5" s="10" t="s">
        <v>92</v>
      </c>
      <c r="C5" s="10" t="s">
        <v>9</v>
      </c>
      <c r="D5" s="12" t="s">
        <v>33</v>
      </c>
      <c r="E5" s="10" t="s">
        <v>133</v>
      </c>
    </row>
    <row r="6" spans="1:5" x14ac:dyDescent="0.3">
      <c r="A6" s="29" t="s">
        <v>134</v>
      </c>
      <c r="B6" s="29" t="s">
        <v>135</v>
      </c>
      <c r="C6" s="29" t="s">
        <v>9</v>
      </c>
      <c r="D6" s="29" t="s">
        <v>34</v>
      </c>
      <c r="E6" s="33" t="s">
        <v>136</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2" tint="-0.249977111117893"/>
  </sheetPr>
  <dimension ref="A1:E6"/>
  <sheetViews>
    <sheetView zoomScale="162" workbookViewId="0">
      <selection activeCell="C9" sqref="C9"/>
    </sheetView>
  </sheetViews>
  <sheetFormatPr baseColWidth="10" defaultColWidth="8.88671875" defaultRowHeight="14.4" x14ac:dyDescent="0.3"/>
  <cols>
    <col min="1" max="1" width="17.77734375" customWidth="1"/>
    <col min="2" max="2" width="11.6640625" bestFit="1" customWidth="1"/>
    <col min="3" max="3" width="7.88671875" bestFit="1" customWidth="1"/>
    <col min="4" max="4" width="10.21875" bestFit="1" customWidth="1"/>
    <col min="5" max="5" width="37.6640625" customWidth="1"/>
  </cols>
  <sheetData>
    <row r="1" spans="1:5" x14ac:dyDescent="0.3">
      <c r="A1" s="7" t="s">
        <v>0</v>
      </c>
      <c r="B1" s="7" t="s">
        <v>1</v>
      </c>
      <c r="C1" s="7" t="s">
        <v>2</v>
      </c>
      <c r="D1" s="7" t="s">
        <v>31</v>
      </c>
      <c r="E1" s="7" t="s">
        <v>3</v>
      </c>
    </row>
    <row r="2" spans="1:5" x14ac:dyDescent="0.3">
      <c r="A2" s="8" t="s">
        <v>137</v>
      </c>
      <c r="B2" s="8" t="s">
        <v>6</v>
      </c>
      <c r="C2" s="8" t="s">
        <v>9</v>
      </c>
      <c r="D2" s="11" t="s">
        <v>32</v>
      </c>
      <c r="E2" s="8" t="s">
        <v>138</v>
      </c>
    </row>
    <row r="3" spans="1:5" x14ac:dyDescent="0.3">
      <c r="A3" s="9" t="s">
        <v>115</v>
      </c>
      <c r="B3" s="9" t="s">
        <v>6</v>
      </c>
      <c r="C3" s="9" t="s">
        <v>9</v>
      </c>
      <c r="D3" s="13" t="s">
        <v>35</v>
      </c>
      <c r="E3" s="9" t="s">
        <v>139</v>
      </c>
    </row>
    <row r="4" spans="1:5" x14ac:dyDescent="0.3">
      <c r="A4" s="45" t="s">
        <v>126</v>
      </c>
      <c r="B4" s="45" t="s">
        <v>6</v>
      </c>
      <c r="C4" s="46" t="s">
        <v>9</v>
      </c>
      <c r="D4" s="47" t="s">
        <v>35</v>
      </c>
      <c r="E4" s="48" t="s">
        <v>140</v>
      </c>
    </row>
    <row r="5" spans="1:5" x14ac:dyDescent="0.3">
      <c r="A5" s="10" t="s">
        <v>141</v>
      </c>
      <c r="B5" s="10" t="s">
        <v>36</v>
      </c>
      <c r="C5" s="10">
        <v>-5.2</v>
      </c>
      <c r="D5" s="12" t="s">
        <v>33</v>
      </c>
      <c r="E5" s="10" t="s">
        <v>142</v>
      </c>
    </row>
    <row r="6" spans="1:5" x14ac:dyDescent="0.3">
      <c r="A6" s="10" t="s">
        <v>143</v>
      </c>
      <c r="B6" s="10" t="s">
        <v>106</v>
      </c>
      <c r="C6" s="10" t="s">
        <v>9</v>
      </c>
      <c r="D6" s="12" t="s">
        <v>33</v>
      </c>
      <c r="E6" s="10" t="s">
        <v>144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2" tint="-0.249977111117893"/>
  </sheetPr>
  <dimension ref="A1:E5"/>
  <sheetViews>
    <sheetView zoomScale="145" zoomScaleNormal="145" workbookViewId="0">
      <selection activeCell="E10" sqref="E10"/>
    </sheetView>
  </sheetViews>
  <sheetFormatPr baseColWidth="10" defaultColWidth="8.88671875" defaultRowHeight="14.4" x14ac:dyDescent="0.3"/>
  <cols>
    <col min="1" max="1" width="16.33203125" customWidth="1"/>
    <col min="2" max="2" width="11.6640625" bestFit="1" customWidth="1"/>
    <col min="3" max="3" width="7.88671875" bestFit="1" customWidth="1"/>
    <col min="4" max="4" width="18.44140625" customWidth="1"/>
    <col min="5" max="5" width="37.21875" customWidth="1"/>
  </cols>
  <sheetData>
    <row r="1" spans="1:5" x14ac:dyDescent="0.3">
      <c r="A1" s="7" t="s">
        <v>0</v>
      </c>
      <c r="B1" s="7" t="s">
        <v>1</v>
      </c>
      <c r="C1" s="7" t="s">
        <v>2</v>
      </c>
      <c r="D1" s="7" t="s">
        <v>31</v>
      </c>
      <c r="E1" s="7" t="s">
        <v>3</v>
      </c>
    </row>
    <row r="2" spans="1:5" x14ac:dyDescent="0.3">
      <c r="A2" s="8" t="s">
        <v>145</v>
      </c>
      <c r="B2" s="8" t="s">
        <v>6</v>
      </c>
      <c r="C2" s="11" t="s">
        <v>9</v>
      </c>
      <c r="D2" s="8" t="s">
        <v>32</v>
      </c>
      <c r="E2" s="8" t="s">
        <v>146</v>
      </c>
    </row>
    <row r="3" spans="1:5" x14ac:dyDescent="0.3">
      <c r="A3" s="10" t="s">
        <v>147</v>
      </c>
      <c r="B3" s="10" t="s">
        <v>7</v>
      </c>
      <c r="C3" s="12">
        <v>50</v>
      </c>
      <c r="D3" s="10" t="s">
        <v>64</v>
      </c>
      <c r="E3" s="10" t="s">
        <v>148</v>
      </c>
    </row>
    <row r="4" spans="1:5" x14ac:dyDescent="0.3">
      <c r="A4" s="29" t="s">
        <v>149</v>
      </c>
      <c r="B4" s="29" t="s">
        <v>7</v>
      </c>
      <c r="C4" s="29">
        <v>100</v>
      </c>
      <c r="D4" s="29" t="s">
        <v>33</v>
      </c>
      <c r="E4" s="29" t="s">
        <v>150</v>
      </c>
    </row>
    <row r="5" spans="1:5" x14ac:dyDescent="0.3">
      <c r="A5" s="29" t="s">
        <v>151</v>
      </c>
      <c r="B5" s="29" t="s">
        <v>36</v>
      </c>
      <c r="C5" s="29">
        <v>-10.199999999999999</v>
      </c>
      <c r="D5" s="29" t="s">
        <v>33</v>
      </c>
      <c r="E5" s="29" t="s">
        <v>152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2" tint="-0.249977111117893"/>
  </sheetPr>
  <dimension ref="A1:G7"/>
  <sheetViews>
    <sheetView topLeftCell="B1" zoomScale="146" workbookViewId="0">
      <selection activeCell="C6" sqref="C6"/>
    </sheetView>
  </sheetViews>
  <sheetFormatPr baseColWidth="10" defaultColWidth="8.88671875" defaultRowHeight="14.4" x14ac:dyDescent="0.3"/>
  <cols>
    <col min="1" max="1" width="7" bestFit="1" customWidth="1"/>
    <col min="2" max="2" width="16.88671875" customWidth="1"/>
    <col min="3" max="3" width="13.88671875" customWidth="1"/>
    <col min="4" max="4" width="10.109375" bestFit="1" customWidth="1"/>
    <col min="5" max="5" width="18.21875" customWidth="1"/>
    <col min="6" max="6" width="39.88671875" customWidth="1"/>
  </cols>
  <sheetData>
    <row r="1" spans="1:7" x14ac:dyDescent="0.3">
      <c r="A1" s="35" t="s">
        <v>0</v>
      </c>
      <c r="B1" s="7" t="s">
        <v>0</v>
      </c>
      <c r="C1" s="7" t="s">
        <v>1</v>
      </c>
      <c r="D1" s="7" t="s">
        <v>2</v>
      </c>
      <c r="E1" s="34" t="s">
        <v>31</v>
      </c>
      <c r="F1" s="38" t="s">
        <v>3</v>
      </c>
      <c r="G1" s="32"/>
    </row>
    <row r="2" spans="1:7" x14ac:dyDescent="0.3">
      <c r="A2" s="36" t="s">
        <v>4</v>
      </c>
      <c r="B2" s="8" t="s">
        <v>153</v>
      </c>
      <c r="C2" s="8" t="s">
        <v>6</v>
      </c>
      <c r="D2" s="8" t="s">
        <v>9</v>
      </c>
      <c r="E2" s="11" t="s">
        <v>32</v>
      </c>
      <c r="F2" s="39" t="s">
        <v>157</v>
      </c>
    </row>
    <row r="3" spans="1:7" x14ac:dyDescent="0.3">
      <c r="A3" s="37" t="s">
        <v>5</v>
      </c>
      <c r="B3" s="9" t="s">
        <v>95</v>
      </c>
      <c r="C3" s="9" t="s">
        <v>6</v>
      </c>
      <c r="D3" s="9" t="s">
        <v>9</v>
      </c>
      <c r="E3" s="13" t="s">
        <v>35</v>
      </c>
      <c r="F3" s="31" t="s">
        <v>158</v>
      </c>
    </row>
    <row r="4" spans="1:7" x14ac:dyDescent="0.3">
      <c r="B4" s="31" t="s">
        <v>145</v>
      </c>
      <c r="C4" s="31" t="s">
        <v>6</v>
      </c>
      <c r="D4" s="31" t="s">
        <v>9</v>
      </c>
      <c r="E4" s="40" t="s">
        <v>35</v>
      </c>
      <c r="F4" s="31" t="s">
        <v>159</v>
      </c>
    </row>
    <row r="5" spans="1:7" x14ac:dyDescent="0.3">
      <c r="B5" s="29" t="s">
        <v>154</v>
      </c>
      <c r="C5" s="29" t="s">
        <v>8</v>
      </c>
      <c r="D5" s="29" t="s">
        <v>9</v>
      </c>
      <c r="E5" s="29" t="s">
        <v>33</v>
      </c>
      <c r="F5" s="29" t="s">
        <v>160</v>
      </c>
    </row>
    <row r="6" spans="1:7" x14ac:dyDescent="0.3">
      <c r="B6" s="29" t="s">
        <v>155</v>
      </c>
      <c r="C6" s="29" t="s">
        <v>8</v>
      </c>
      <c r="D6" s="29" t="s">
        <v>9</v>
      </c>
      <c r="E6" s="29" t="s">
        <v>34</v>
      </c>
      <c r="F6" s="29" t="s">
        <v>161</v>
      </c>
    </row>
    <row r="7" spans="1:7" x14ac:dyDescent="0.3">
      <c r="B7" s="29" t="s">
        <v>156</v>
      </c>
      <c r="C7" s="29" t="s">
        <v>7</v>
      </c>
      <c r="D7" s="29">
        <v>50</v>
      </c>
      <c r="E7" s="29" t="s">
        <v>64</v>
      </c>
      <c r="F7" s="29" t="s">
        <v>162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33B78-DC58-45CB-81FE-BE4A0FF3FA6D}">
  <sheetPr>
    <tabColor theme="2" tint="-0.249977111117893"/>
  </sheetPr>
  <dimension ref="A1:E7"/>
  <sheetViews>
    <sheetView zoomScale="135" workbookViewId="0">
      <selection activeCell="D4" sqref="D4"/>
    </sheetView>
  </sheetViews>
  <sheetFormatPr baseColWidth="10" defaultColWidth="8.88671875" defaultRowHeight="14.4" x14ac:dyDescent="0.3"/>
  <cols>
    <col min="1" max="1" width="14.44140625" customWidth="1"/>
    <col min="2" max="2" width="11.6640625" bestFit="1" customWidth="1"/>
    <col min="3" max="3" width="7.88671875" bestFit="1" customWidth="1"/>
    <col min="4" max="4" width="17" customWidth="1"/>
    <col min="5" max="5" width="34.5546875" customWidth="1"/>
  </cols>
  <sheetData>
    <row r="1" spans="1:5" x14ac:dyDescent="0.3">
      <c r="A1" s="7" t="s">
        <v>0</v>
      </c>
      <c r="B1" s="7" t="s">
        <v>1</v>
      </c>
      <c r="C1" s="7" t="s">
        <v>2</v>
      </c>
      <c r="D1" s="7" t="s">
        <v>31</v>
      </c>
      <c r="E1" s="7" t="s">
        <v>3</v>
      </c>
    </row>
    <row r="2" spans="1:5" x14ac:dyDescent="0.3">
      <c r="A2" s="8" t="s">
        <v>163</v>
      </c>
      <c r="B2" s="8" t="s">
        <v>6</v>
      </c>
      <c r="C2" s="11" t="s">
        <v>9</v>
      </c>
      <c r="D2" s="11" t="s">
        <v>32</v>
      </c>
      <c r="E2" s="8" t="s">
        <v>164</v>
      </c>
    </row>
    <row r="3" spans="1:5" x14ac:dyDescent="0.3">
      <c r="A3" s="10" t="s">
        <v>165</v>
      </c>
      <c r="B3" s="10" t="s">
        <v>7</v>
      </c>
      <c r="C3" s="10">
        <v>100</v>
      </c>
      <c r="D3" s="10" t="s">
        <v>64</v>
      </c>
      <c r="E3" s="16" t="s">
        <v>166</v>
      </c>
    </row>
    <row r="4" spans="1:5" x14ac:dyDescent="0.3">
      <c r="A4" s="9" t="s">
        <v>66</v>
      </c>
      <c r="B4" s="9" t="s">
        <v>7</v>
      </c>
      <c r="C4" s="42">
        <v>5</v>
      </c>
      <c r="D4" s="13" t="s">
        <v>35</v>
      </c>
      <c r="E4" s="41" t="s">
        <v>98</v>
      </c>
    </row>
    <row r="5" spans="1:5" x14ac:dyDescent="0.3">
      <c r="A5" s="29" t="s">
        <v>167</v>
      </c>
      <c r="B5" s="29" t="s">
        <v>7</v>
      </c>
      <c r="C5" s="29">
        <v>150</v>
      </c>
      <c r="D5" s="29" t="s">
        <v>33</v>
      </c>
      <c r="E5" s="29" t="s">
        <v>168</v>
      </c>
    </row>
    <row r="6" spans="1:5" x14ac:dyDescent="0.3">
      <c r="A6" s="29" t="s">
        <v>84</v>
      </c>
      <c r="B6" s="29" t="s">
        <v>7</v>
      </c>
      <c r="C6" s="29">
        <v>20</v>
      </c>
      <c r="D6" s="29" t="s">
        <v>34</v>
      </c>
      <c r="E6" s="29" t="s">
        <v>169</v>
      </c>
    </row>
    <row r="7" spans="1:5" x14ac:dyDescent="0.3">
      <c r="A7" s="29" t="s">
        <v>91</v>
      </c>
      <c r="B7" s="29" t="s">
        <v>92</v>
      </c>
      <c r="C7" s="29" t="s">
        <v>9</v>
      </c>
      <c r="D7" s="29" t="s">
        <v>33</v>
      </c>
      <c r="E7" s="29" t="s">
        <v>170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2" tint="-0.249977111117893"/>
  </sheetPr>
  <dimension ref="A1:E6"/>
  <sheetViews>
    <sheetView zoomScale="135" workbookViewId="0">
      <selection activeCell="C10" sqref="C10"/>
    </sheetView>
  </sheetViews>
  <sheetFormatPr baseColWidth="10" defaultColWidth="8.88671875" defaultRowHeight="14.4" x14ac:dyDescent="0.3"/>
  <cols>
    <col min="1" max="1" width="20.5546875" customWidth="1"/>
    <col min="2" max="2" width="11.6640625" bestFit="1" customWidth="1"/>
    <col min="3" max="3" width="7.88671875" bestFit="1" customWidth="1"/>
    <col min="4" max="4" width="10.109375" bestFit="1" customWidth="1"/>
    <col min="5" max="5" width="31.88671875" customWidth="1"/>
  </cols>
  <sheetData>
    <row r="1" spans="1:5" x14ac:dyDescent="0.3">
      <c r="A1" s="7" t="s">
        <v>0</v>
      </c>
      <c r="B1" s="7" t="s">
        <v>1</v>
      </c>
      <c r="C1" s="7" t="s">
        <v>2</v>
      </c>
      <c r="D1" s="7" t="s">
        <v>31</v>
      </c>
      <c r="E1" s="7" t="s">
        <v>3</v>
      </c>
    </row>
    <row r="2" spans="1:5" x14ac:dyDescent="0.3">
      <c r="A2" s="8" t="s">
        <v>171</v>
      </c>
      <c r="B2" s="8" t="s">
        <v>6</v>
      </c>
      <c r="C2" s="11" t="s">
        <v>9</v>
      </c>
      <c r="D2" s="11" t="s">
        <v>32</v>
      </c>
      <c r="E2" s="8" t="s">
        <v>172</v>
      </c>
    </row>
    <row r="3" spans="1:5" ht="13.8" customHeight="1" x14ac:dyDescent="0.3">
      <c r="A3" s="9" t="s">
        <v>163</v>
      </c>
      <c r="B3" s="9" t="s">
        <v>6</v>
      </c>
      <c r="C3" s="13" t="s">
        <v>9</v>
      </c>
      <c r="D3" s="13" t="s">
        <v>35</v>
      </c>
      <c r="E3" s="9" t="s">
        <v>173</v>
      </c>
    </row>
    <row r="4" spans="1:5" s="32" customFormat="1" x14ac:dyDescent="0.3">
      <c r="A4" s="10" t="s">
        <v>174</v>
      </c>
      <c r="B4" s="10" t="s">
        <v>8</v>
      </c>
      <c r="C4" s="10" t="s">
        <v>9</v>
      </c>
      <c r="D4" s="10" t="s">
        <v>33</v>
      </c>
      <c r="E4" s="10" t="s">
        <v>175</v>
      </c>
    </row>
    <row r="5" spans="1:5" x14ac:dyDescent="0.3">
      <c r="A5" s="29" t="s">
        <v>176</v>
      </c>
      <c r="B5" s="29" t="s">
        <v>36</v>
      </c>
      <c r="C5" s="29">
        <v>-10.199999999999999</v>
      </c>
      <c r="D5" s="29" t="s">
        <v>33</v>
      </c>
      <c r="E5" s="29" t="s">
        <v>177</v>
      </c>
    </row>
    <row r="6" spans="1:5" x14ac:dyDescent="0.3">
      <c r="A6" s="29" t="s">
        <v>178</v>
      </c>
      <c r="B6" s="29" t="s">
        <v>36</v>
      </c>
      <c r="C6" s="29">
        <v>-5.2</v>
      </c>
      <c r="D6" s="29" t="s">
        <v>33</v>
      </c>
      <c r="E6" s="29" t="s">
        <v>179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2" tint="-0.249977111117893"/>
  </sheetPr>
  <dimension ref="A1:E9"/>
  <sheetViews>
    <sheetView zoomScale="130" zoomScaleNormal="130" workbookViewId="0">
      <selection activeCell="F10" sqref="F10"/>
    </sheetView>
  </sheetViews>
  <sheetFormatPr baseColWidth="10" defaultColWidth="8.88671875" defaultRowHeight="14.4" x14ac:dyDescent="0.3"/>
  <cols>
    <col min="1" max="1" width="15.77734375" customWidth="1"/>
    <col min="2" max="2" width="12.77734375" customWidth="1"/>
    <col min="3" max="3" width="11.77734375" customWidth="1"/>
    <col min="4" max="4" width="11.6640625" customWidth="1"/>
    <col min="5" max="5" width="33.44140625" customWidth="1"/>
  </cols>
  <sheetData>
    <row r="1" spans="1:5" x14ac:dyDescent="0.3">
      <c r="A1" s="7" t="s">
        <v>0</v>
      </c>
      <c r="B1" s="7" t="s">
        <v>1</v>
      </c>
      <c r="C1" s="7" t="s">
        <v>2</v>
      </c>
      <c r="D1" s="7" t="s">
        <v>31</v>
      </c>
      <c r="E1" s="7" t="s">
        <v>3</v>
      </c>
    </row>
    <row r="2" spans="1:5" x14ac:dyDescent="0.3">
      <c r="A2" s="8" t="s">
        <v>180</v>
      </c>
      <c r="B2" s="8" t="s">
        <v>7</v>
      </c>
      <c r="C2" s="8">
        <v>30</v>
      </c>
      <c r="D2" s="11" t="s">
        <v>32</v>
      </c>
      <c r="E2" s="8" t="s">
        <v>181</v>
      </c>
    </row>
    <row r="3" spans="1:5" x14ac:dyDescent="0.3">
      <c r="A3" s="9" t="s">
        <v>95</v>
      </c>
      <c r="B3" s="9" t="s">
        <v>6</v>
      </c>
      <c r="C3" s="9" t="s">
        <v>9</v>
      </c>
      <c r="D3" s="13" t="s">
        <v>35</v>
      </c>
      <c r="E3" s="9" t="s">
        <v>182</v>
      </c>
    </row>
    <row r="4" spans="1:5" x14ac:dyDescent="0.3">
      <c r="A4" s="9" t="s">
        <v>163</v>
      </c>
      <c r="B4" s="9" t="s">
        <v>6</v>
      </c>
      <c r="C4" s="9" t="s">
        <v>9</v>
      </c>
      <c r="D4" s="13" t="s">
        <v>35</v>
      </c>
      <c r="E4" s="9" t="s">
        <v>183</v>
      </c>
    </row>
    <row r="5" spans="1:5" x14ac:dyDescent="0.3">
      <c r="A5" s="17" t="s">
        <v>184</v>
      </c>
      <c r="B5" s="17" t="s">
        <v>113</v>
      </c>
      <c r="C5" s="19" t="s">
        <v>9</v>
      </c>
      <c r="D5" s="17" t="s">
        <v>33</v>
      </c>
      <c r="E5" s="18" t="s">
        <v>185</v>
      </c>
    </row>
    <row r="6" spans="1:5" x14ac:dyDescent="0.3">
      <c r="A6" s="10" t="s">
        <v>186</v>
      </c>
      <c r="B6" s="10" t="s">
        <v>7</v>
      </c>
      <c r="C6" s="12">
        <v>30</v>
      </c>
      <c r="D6" s="10" t="s">
        <v>33</v>
      </c>
      <c r="E6" s="10" t="s">
        <v>187</v>
      </c>
    </row>
    <row r="7" spans="1:5" x14ac:dyDescent="0.3">
      <c r="A7" s="29" t="s">
        <v>188</v>
      </c>
      <c r="B7" s="29" t="s">
        <v>106</v>
      </c>
      <c r="C7" s="29" t="s">
        <v>9</v>
      </c>
      <c r="D7" s="29" t="s">
        <v>33</v>
      </c>
      <c r="E7" s="29" t="s">
        <v>189</v>
      </c>
    </row>
    <row r="8" spans="1:5" x14ac:dyDescent="0.3">
      <c r="A8" s="29" t="s">
        <v>190</v>
      </c>
      <c r="B8" s="29" t="s">
        <v>36</v>
      </c>
      <c r="C8" s="29">
        <v>-10.199999999999999</v>
      </c>
      <c r="D8" s="29" t="s">
        <v>33</v>
      </c>
      <c r="E8" s="29" t="s">
        <v>191</v>
      </c>
    </row>
    <row r="9" spans="1:5" x14ac:dyDescent="0.3">
      <c r="A9" s="29" t="s">
        <v>192</v>
      </c>
      <c r="B9" s="29" t="s">
        <v>7</v>
      </c>
      <c r="C9" s="29">
        <v>20</v>
      </c>
      <c r="D9" s="29" t="s">
        <v>33</v>
      </c>
      <c r="E9" s="29" t="s">
        <v>193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1DD23-83EB-4E9D-8131-1580ED18E5C5}">
  <sheetPr>
    <tabColor theme="2" tint="-0.249977111117893"/>
  </sheetPr>
  <dimension ref="A1:E11"/>
  <sheetViews>
    <sheetView zoomScale="130" zoomScaleNormal="130" workbookViewId="0"/>
  </sheetViews>
  <sheetFormatPr baseColWidth="10" defaultRowHeight="14.4" x14ac:dyDescent="0.3"/>
  <cols>
    <col min="1" max="1" width="13.21875" customWidth="1"/>
    <col min="5" max="5" width="38.33203125" customWidth="1"/>
  </cols>
  <sheetData>
    <row r="1" spans="1:5" x14ac:dyDescent="0.3">
      <c r="A1" s="44" t="s">
        <v>0</v>
      </c>
      <c r="B1" s="44" t="s">
        <v>1</v>
      </c>
      <c r="C1" s="44" t="s">
        <v>2</v>
      </c>
      <c r="D1" s="44" t="s">
        <v>31</v>
      </c>
      <c r="E1" s="44" t="s">
        <v>3</v>
      </c>
    </row>
    <row r="2" spans="1:5" x14ac:dyDescent="0.3">
      <c r="A2" s="39" t="s">
        <v>194</v>
      </c>
      <c r="B2" s="39" t="s">
        <v>7</v>
      </c>
      <c r="C2" s="39">
        <v>30</v>
      </c>
      <c r="D2" s="43" t="s">
        <v>32</v>
      </c>
      <c r="E2" s="39" t="s">
        <v>195</v>
      </c>
    </row>
    <row r="3" spans="1:5" x14ac:dyDescent="0.3">
      <c r="A3" s="31" t="s">
        <v>180</v>
      </c>
      <c r="B3" s="31" t="s">
        <v>7</v>
      </c>
      <c r="C3" s="31">
        <v>30</v>
      </c>
      <c r="D3" s="40" t="s">
        <v>35</v>
      </c>
      <c r="E3" s="31" t="s">
        <v>196</v>
      </c>
    </row>
    <row r="4" spans="1:5" x14ac:dyDescent="0.3">
      <c r="A4" s="29" t="s">
        <v>197</v>
      </c>
      <c r="B4" s="29" t="s">
        <v>113</v>
      </c>
      <c r="C4" s="29" t="s">
        <v>9</v>
      </c>
      <c r="D4" s="29" t="s">
        <v>33</v>
      </c>
      <c r="E4" s="29" t="s">
        <v>198</v>
      </c>
    </row>
    <row r="5" spans="1:5" x14ac:dyDescent="0.3">
      <c r="A5" s="29" t="s">
        <v>199</v>
      </c>
      <c r="B5" s="29" t="s">
        <v>36</v>
      </c>
      <c r="C5" s="29">
        <v>-5.2</v>
      </c>
      <c r="D5" s="29" t="s">
        <v>33</v>
      </c>
      <c r="E5" s="29" t="s">
        <v>200</v>
      </c>
    </row>
    <row r="6" spans="1:5" x14ac:dyDescent="0.3">
      <c r="A6" s="29" t="s">
        <v>201</v>
      </c>
      <c r="B6" s="29" t="s">
        <v>36</v>
      </c>
      <c r="C6" s="29">
        <v>-5.2</v>
      </c>
      <c r="D6" s="29" t="s">
        <v>33</v>
      </c>
      <c r="E6" s="29" t="s">
        <v>202</v>
      </c>
    </row>
    <row r="7" spans="1:5" x14ac:dyDescent="0.3">
      <c r="A7" s="29" t="s">
        <v>203</v>
      </c>
      <c r="B7" s="29" t="s">
        <v>36</v>
      </c>
      <c r="C7" s="29">
        <v>-5.2</v>
      </c>
      <c r="D7" s="29" t="s">
        <v>33</v>
      </c>
      <c r="E7" s="29" t="s">
        <v>204</v>
      </c>
    </row>
    <row r="8" spans="1:5" x14ac:dyDescent="0.3">
      <c r="A8" s="29" t="s">
        <v>205</v>
      </c>
      <c r="B8" s="29" t="s">
        <v>36</v>
      </c>
      <c r="C8" s="29">
        <v>-5.2</v>
      </c>
      <c r="D8" s="29" t="s">
        <v>34</v>
      </c>
      <c r="E8" s="29" t="s">
        <v>206</v>
      </c>
    </row>
    <row r="9" spans="1:5" x14ac:dyDescent="0.3">
      <c r="A9" s="29" t="s">
        <v>207</v>
      </c>
      <c r="B9" s="29" t="s">
        <v>92</v>
      </c>
      <c r="C9" s="29" t="s">
        <v>9</v>
      </c>
      <c r="D9" s="29" t="s">
        <v>33</v>
      </c>
      <c r="E9" s="29" t="s">
        <v>208</v>
      </c>
    </row>
    <row r="10" spans="1:5" x14ac:dyDescent="0.3">
      <c r="A10" s="29" t="s">
        <v>209</v>
      </c>
      <c r="B10" s="29" t="s">
        <v>7</v>
      </c>
      <c r="C10" s="29">
        <v>100</v>
      </c>
      <c r="D10" s="29" t="s">
        <v>33</v>
      </c>
      <c r="E10" s="29" t="s">
        <v>210</v>
      </c>
    </row>
    <row r="11" spans="1:5" x14ac:dyDescent="0.3">
      <c r="A11" s="29" t="s">
        <v>211</v>
      </c>
      <c r="B11" s="29" t="s">
        <v>135</v>
      </c>
      <c r="C11" s="29" t="s">
        <v>9</v>
      </c>
      <c r="D11" s="29" t="s">
        <v>34</v>
      </c>
      <c r="E11" s="29" t="s">
        <v>212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864E4-6B10-4EDD-AEB0-AB6677A993F0}">
  <sheetPr>
    <tabColor theme="2" tint="-0.249977111117893"/>
  </sheetPr>
  <dimension ref="A1:E11"/>
  <sheetViews>
    <sheetView zoomScale="130" zoomScaleNormal="130" workbookViewId="0">
      <selection activeCell="E16" sqref="E16"/>
    </sheetView>
  </sheetViews>
  <sheetFormatPr baseColWidth="10" defaultRowHeight="14.4" x14ac:dyDescent="0.3"/>
  <cols>
    <col min="1" max="1" width="20.21875" customWidth="1"/>
    <col min="5" max="5" width="37.44140625" customWidth="1"/>
  </cols>
  <sheetData>
    <row r="1" spans="1:5" x14ac:dyDescent="0.3">
      <c r="A1" s="44" t="s">
        <v>0</v>
      </c>
      <c r="B1" s="44" t="s">
        <v>1</v>
      </c>
      <c r="C1" s="44" t="s">
        <v>2</v>
      </c>
      <c r="D1" s="44" t="s">
        <v>31</v>
      </c>
      <c r="E1" s="44" t="s">
        <v>3</v>
      </c>
    </row>
    <row r="2" spans="1:5" x14ac:dyDescent="0.3">
      <c r="A2" s="39" t="s">
        <v>213</v>
      </c>
      <c r="B2" s="39" t="s">
        <v>7</v>
      </c>
      <c r="C2" s="39">
        <v>30</v>
      </c>
      <c r="D2" s="43" t="s">
        <v>32</v>
      </c>
      <c r="E2" s="39" t="s">
        <v>214</v>
      </c>
    </row>
    <row r="3" spans="1:5" x14ac:dyDescent="0.3">
      <c r="A3" s="31" t="s">
        <v>180</v>
      </c>
      <c r="B3" s="31" t="s">
        <v>7</v>
      </c>
      <c r="C3" s="31">
        <v>30</v>
      </c>
      <c r="D3" s="40" t="s">
        <v>35</v>
      </c>
      <c r="E3" s="31" t="s">
        <v>215</v>
      </c>
    </row>
    <row r="4" spans="1:5" x14ac:dyDescent="0.3">
      <c r="A4" s="29" t="s">
        <v>171</v>
      </c>
      <c r="B4" s="29" t="s">
        <v>6</v>
      </c>
      <c r="C4" s="29" t="s">
        <v>9</v>
      </c>
      <c r="D4" s="29" t="s">
        <v>35</v>
      </c>
      <c r="E4" s="29" t="s">
        <v>216</v>
      </c>
    </row>
    <row r="5" spans="1:5" x14ac:dyDescent="0.3">
      <c r="A5" s="29" t="s">
        <v>217</v>
      </c>
      <c r="B5" s="29" t="s">
        <v>36</v>
      </c>
      <c r="C5" s="29">
        <v>-10.199999999999999</v>
      </c>
      <c r="D5" s="29" t="s">
        <v>33</v>
      </c>
      <c r="E5" s="29" t="s">
        <v>218</v>
      </c>
    </row>
    <row r="6" spans="1:5" x14ac:dyDescent="0.3">
      <c r="A6" s="29" t="s">
        <v>219</v>
      </c>
      <c r="B6" s="29" t="s">
        <v>36</v>
      </c>
      <c r="C6" s="29">
        <v>-10.199999999999999</v>
      </c>
      <c r="D6" s="29" t="s">
        <v>33</v>
      </c>
      <c r="E6" s="29" t="s">
        <v>220</v>
      </c>
    </row>
    <row r="7" spans="1:5" x14ac:dyDescent="0.3">
      <c r="A7" s="29" t="s">
        <v>221</v>
      </c>
      <c r="B7" s="29" t="s">
        <v>36</v>
      </c>
      <c r="C7" s="29">
        <v>-10.199999999999999</v>
      </c>
      <c r="D7" s="29" t="s">
        <v>33</v>
      </c>
      <c r="E7" s="29" t="s">
        <v>222</v>
      </c>
    </row>
    <row r="8" spans="1:5" x14ac:dyDescent="0.3">
      <c r="A8" s="29" t="s">
        <v>223</v>
      </c>
      <c r="B8" s="29" t="s">
        <v>36</v>
      </c>
      <c r="C8" s="29">
        <v>-10.199999999999999</v>
      </c>
      <c r="D8" s="29" t="s">
        <v>33</v>
      </c>
      <c r="E8" s="29" t="s">
        <v>224</v>
      </c>
    </row>
    <row r="9" spans="1:5" x14ac:dyDescent="0.3">
      <c r="A9" s="29" t="s">
        <v>225</v>
      </c>
      <c r="B9" s="29" t="s">
        <v>36</v>
      </c>
      <c r="C9" s="29">
        <v>-10.199999999999999</v>
      </c>
      <c r="D9" s="29" t="s">
        <v>33</v>
      </c>
      <c r="E9" s="29" t="s">
        <v>226</v>
      </c>
    </row>
    <row r="10" spans="1:5" x14ac:dyDescent="0.3">
      <c r="A10" s="29" t="s">
        <v>227</v>
      </c>
      <c r="B10" s="29" t="s">
        <v>113</v>
      </c>
      <c r="C10" s="29" t="s">
        <v>9</v>
      </c>
      <c r="D10" s="29" t="s">
        <v>33</v>
      </c>
      <c r="E10" s="29" t="s">
        <v>228</v>
      </c>
    </row>
    <row r="11" spans="1:5" x14ac:dyDescent="0.3">
      <c r="A11" s="29" t="s">
        <v>192</v>
      </c>
      <c r="B11" s="29" t="s">
        <v>7</v>
      </c>
      <c r="C11" s="29">
        <v>20</v>
      </c>
      <c r="D11" s="29" t="s">
        <v>33</v>
      </c>
      <c r="E11" s="29" t="s">
        <v>229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55D73-2867-4D0E-93A2-FA27BE528675}">
  <sheetPr>
    <tabColor theme="2" tint="-0.249977111117893"/>
  </sheetPr>
  <dimension ref="A1:E7"/>
  <sheetViews>
    <sheetView zoomScale="130" zoomScaleNormal="130" workbookViewId="0">
      <selection activeCell="E19" sqref="E19"/>
    </sheetView>
  </sheetViews>
  <sheetFormatPr baseColWidth="10" defaultRowHeight="14.4" x14ac:dyDescent="0.3"/>
  <cols>
    <col min="1" max="1" width="20.109375" customWidth="1"/>
    <col min="5" max="5" width="32.88671875" customWidth="1"/>
  </cols>
  <sheetData>
    <row r="1" spans="1:5" x14ac:dyDescent="0.3">
      <c r="A1" s="44" t="s">
        <v>0</v>
      </c>
      <c r="B1" s="44" t="s">
        <v>1</v>
      </c>
      <c r="C1" s="44" t="s">
        <v>2</v>
      </c>
      <c r="D1" s="44" t="s">
        <v>31</v>
      </c>
      <c r="E1" s="44" t="s">
        <v>3</v>
      </c>
    </row>
    <row r="2" spans="1:5" x14ac:dyDescent="0.3">
      <c r="A2" s="39" t="s">
        <v>230</v>
      </c>
      <c r="B2" s="39" t="s">
        <v>7</v>
      </c>
      <c r="C2" s="39">
        <v>30</v>
      </c>
      <c r="D2" s="43" t="s">
        <v>32</v>
      </c>
      <c r="E2" s="39" t="s">
        <v>231</v>
      </c>
    </row>
    <row r="3" spans="1:5" x14ac:dyDescent="0.3">
      <c r="A3" s="31" t="s">
        <v>213</v>
      </c>
      <c r="B3" s="31" t="s">
        <v>7</v>
      </c>
      <c r="C3" s="31">
        <v>30</v>
      </c>
      <c r="D3" s="40" t="s">
        <v>35</v>
      </c>
      <c r="E3" s="31" t="s">
        <v>232</v>
      </c>
    </row>
    <row r="4" spans="1:5" x14ac:dyDescent="0.3">
      <c r="A4" s="29" t="s">
        <v>233</v>
      </c>
      <c r="B4" s="29" t="s">
        <v>7</v>
      </c>
      <c r="C4" s="29">
        <v>30</v>
      </c>
      <c r="D4" s="29" t="s">
        <v>33</v>
      </c>
      <c r="E4" s="29" t="s">
        <v>234</v>
      </c>
    </row>
    <row r="5" spans="1:5" x14ac:dyDescent="0.3">
      <c r="A5" s="29" t="s">
        <v>235</v>
      </c>
      <c r="B5" s="29" t="s">
        <v>36</v>
      </c>
      <c r="C5" s="29">
        <v>-10.199999999999999</v>
      </c>
      <c r="D5" s="29" t="s">
        <v>33</v>
      </c>
      <c r="E5" s="29" t="s">
        <v>236</v>
      </c>
    </row>
    <row r="6" spans="1:5" x14ac:dyDescent="0.3">
      <c r="A6" s="29" t="s">
        <v>237</v>
      </c>
      <c r="B6" s="29" t="s">
        <v>113</v>
      </c>
      <c r="C6" s="29" t="s">
        <v>9</v>
      </c>
      <c r="D6" s="29" t="s">
        <v>33</v>
      </c>
      <c r="E6" s="29" t="s">
        <v>238</v>
      </c>
    </row>
    <row r="7" spans="1:5" x14ac:dyDescent="0.3">
      <c r="A7" s="29" t="s">
        <v>239</v>
      </c>
      <c r="B7" s="29" t="s">
        <v>7</v>
      </c>
      <c r="C7" s="29">
        <v>100</v>
      </c>
      <c r="D7" s="29" t="s">
        <v>34</v>
      </c>
      <c r="E7" s="29" t="s">
        <v>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DICCIONARIO DE DATOS</vt:lpstr>
      <vt:lpstr>DEPARTMENTS</vt:lpstr>
      <vt:lpstr>MUNICIPALITIES</vt:lpstr>
      <vt:lpstr>FARMERS</vt:lpstr>
      <vt:lpstr>FARMS</vt:lpstr>
      <vt:lpstr>PLOTS</vt:lpstr>
      <vt:lpstr>COFFEE_VARIETIES</vt:lpstr>
      <vt:lpstr>PLOT_VARIETIES</vt:lpstr>
      <vt:lpstr>CERTIFICATIONS</vt:lpstr>
      <vt:lpstr>FARM_CERTIFICATIONS</vt:lpstr>
      <vt:lpstr>COLLECTION_POINTS</vt:lpstr>
      <vt:lpstr>DAILY_PRICES</vt:lpstr>
      <vt:lpstr>DELIVERIES</vt:lpstr>
      <vt:lpstr>QUALITY_ANALYSES</vt:lpstr>
      <vt:lpstr>SETTLEMENTS</vt:lpstr>
      <vt:lpstr>PAYMENTS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JAIMES</dc:creator>
  <cp:lastModifiedBy>Daniela Idrobo Cardozo</cp:lastModifiedBy>
  <dcterms:created xsi:type="dcterms:W3CDTF">2024-10-25T23:23:13Z</dcterms:created>
  <dcterms:modified xsi:type="dcterms:W3CDTF">2026-10-30T21:40:45Z</dcterms:modified>
</cp:coreProperties>
</file>